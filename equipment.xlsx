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NIKKE-OCR-release\nikke-ocr-main\"/>
    </mc:Choice>
  </mc:AlternateContent>
  <xr:revisionPtr revIDLastSave="0" documentId="13_ncr:1_{35AB2C26-EFF3-4B27-B098-97E3DE9A124F}" xr6:coauthVersionLast="47" xr6:coauthVersionMax="47" xr10:uidLastSave="{00000000-0000-0000-0000-000000000000}"/>
  <bookViews>
    <workbookView xWindow="75" yWindow="405" windowWidth="28725" windowHeight="14115" activeTab="2" xr2:uid="{00000000-000D-0000-FFFF-FFFF00000000}"/>
  </bookViews>
  <sheets>
    <sheet name="词条表" sheetId="1" r:id="rId1"/>
    <sheet name="装备加成结果表" sheetId="3" r:id="rId2"/>
    <sheet name="装备加成计算表" sheetId="2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6" i="2" l="1"/>
  <c r="T6" i="2"/>
  <c r="U6" i="2"/>
  <c r="S4" i="2"/>
  <c r="T4" i="2"/>
  <c r="U4" i="2"/>
  <c r="Q6" i="2"/>
  <c r="Q4" i="2"/>
  <c r="O6" i="2"/>
  <c r="N6" i="2"/>
  <c r="M6" i="2"/>
  <c r="L6" i="2"/>
  <c r="K6" i="2"/>
  <c r="M3" i="2"/>
  <c r="N3" i="2"/>
  <c r="O3" i="2"/>
  <c r="K3" i="2"/>
  <c r="L3" i="2"/>
  <c r="I5" i="2"/>
  <c r="H5" i="2"/>
  <c r="G5" i="2"/>
  <c r="F5" i="2"/>
  <c r="E5" i="2"/>
  <c r="I4" i="2"/>
  <c r="H4" i="2"/>
  <c r="G4" i="2"/>
  <c r="F4" i="2"/>
  <c r="E4" i="2"/>
  <c r="G3" i="2"/>
  <c r="H3" i="2"/>
  <c r="I3" i="2"/>
  <c r="E3" i="2"/>
  <c r="F3" i="2"/>
  <c r="U10" i="2"/>
  <c r="O7" i="2"/>
  <c r="N7" i="2"/>
  <c r="M7" i="2"/>
  <c r="L7" i="2"/>
  <c r="K7" i="2"/>
  <c r="O10" i="2"/>
  <c r="N10" i="2"/>
  <c r="M10" i="2"/>
  <c r="L10" i="2"/>
  <c r="K10" i="2"/>
  <c r="L9" i="2"/>
  <c r="M9" i="2"/>
  <c r="N9" i="2"/>
  <c r="O9" i="2"/>
  <c r="K9" i="2"/>
  <c r="E7" i="2"/>
  <c r="F7" i="2"/>
  <c r="G7" i="2"/>
  <c r="H7" i="2"/>
  <c r="I7" i="2"/>
  <c r="E9" i="2"/>
  <c r="F9" i="2"/>
  <c r="G9" i="2"/>
  <c r="H9" i="2"/>
  <c r="I9" i="2"/>
  <c r="F8" i="2"/>
  <c r="E8" i="2"/>
  <c r="G8" i="2"/>
  <c r="H8" i="2"/>
  <c r="I8" i="2"/>
  <c r="Q8" i="2"/>
  <c r="R8" i="2"/>
  <c r="S8" i="2"/>
  <c r="T8" i="2"/>
  <c r="U8" i="2"/>
  <c r="Q10" i="2"/>
  <c r="R10" i="2"/>
  <c r="S10" i="2"/>
  <c r="T10" i="2"/>
  <c r="M11" i="2"/>
  <c r="N11" i="2"/>
  <c r="O11" i="2"/>
  <c r="K11" i="2"/>
  <c r="L11" i="2"/>
  <c r="F11" i="2"/>
  <c r="G11" i="2"/>
  <c r="H11" i="2"/>
  <c r="I11" i="2"/>
  <c r="E11" i="2"/>
  <c r="U14" i="2"/>
  <c r="U12" i="2"/>
  <c r="I12" i="2"/>
  <c r="O14" i="2"/>
  <c r="O13" i="2"/>
  <c r="N13" i="2"/>
  <c r="M13" i="2"/>
  <c r="L13" i="2"/>
  <c r="K13" i="2"/>
  <c r="K14" i="2"/>
  <c r="F13" i="2"/>
  <c r="G13" i="2"/>
  <c r="H13" i="2"/>
  <c r="I13" i="2"/>
  <c r="E13" i="2"/>
  <c r="R6" i="2"/>
  <c r="R4" i="2"/>
  <c r="N5" i="2"/>
  <c r="L5" i="2"/>
  <c r="K5" i="2"/>
  <c r="S14" i="2"/>
  <c r="T14" i="2"/>
  <c r="Q14" i="2"/>
  <c r="R14" i="2"/>
  <c r="M14" i="2"/>
  <c r="N14" i="2"/>
  <c r="L14" i="2"/>
  <c r="F12" i="2"/>
  <c r="G12" i="2"/>
  <c r="H12" i="2"/>
  <c r="S12" i="2"/>
  <c r="T12" i="2"/>
  <c r="Q12" i="2"/>
  <c r="R12" i="2"/>
  <c r="E12" i="2"/>
</calcChain>
</file>

<file path=xl/sharedStrings.xml><?xml version="1.0" encoding="utf-8"?>
<sst xmlns="http://schemas.openxmlformats.org/spreadsheetml/2006/main" count="252" uniqueCount="41">
  <si>
    <t>T10词条</t>
  </si>
  <si>
    <t>概率</t>
  </si>
  <si>
    <t>1档</t>
  </si>
  <si>
    <t>2档</t>
  </si>
  <si>
    <t>3档</t>
  </si>
  <si>
    <t>4档</t>
  </si>
  <si>
    <t>5档</t>
  </si>
  <si>
    <t>6档</t>
  </si>
  <si>
    <t>7档</t>
  </si>
  <si>
    <t>8档</t>
  </si>
  <si>
    <t>9档</t>
  </si>
  <si>
    <t>10档</t>
  </si>
  <si>
    <t>11档</t>
  </si>
  <si>
    <t>12档</t>
  </si>
  <si>
    <t>13档</t>
  </si>
  <si>
    <t>14档</t>
  </si>
  <si>
    <t>15档</t>
  </si>
  <si>
    <t>优越代码伤害增加</t>
    <phoneticPr fontId="2" type="noConversion"/>
  </si>
  <si>
    <t>命中率增加</t>
    <phoneticPr fontId="2" type="noConversion"/>
  </si>
  <si>
    <t>攻击力增加</t>
    <phoneticPr fontId="2" type="noConversion"/>
  </si>
  <si>
    <t>蓄力伤害增加</t>
    <phoneticPr fontId="2" type="noConversion"/>
  </si>
  <si>
    <t>蓄力速度增加</t>
    <phoneticPr fontId="2" type="noConversion"/>
  </si>
  <si>
    <t>暴击率增加</t>
    <phoneticPr fontId="2" type="noConversion"/>
  </si>
  <si>
    <t>暴击伤害增加</t>
    <phoneticPr fontId="2" type="noConversion"/>
  </si>
  <si>
    <t>防御力增加</t>
    <phoneticPr fontId="2" type="noConversion"/>
  </si>
  <si>
    <t>atk</t>
  </si>
  <si>
    <t>头</t>
  </si>
  <si>
    <t>手</t>
  </si>
  <si>
    <t>T10</t>
  </si>
  <si>
    <t>火力型</t>
  </si>
  <si>
    <t>辅助型</t>
    <phoneticPr fontId="2" type="noConversion"/>
  </si>
  <si>
    <t>防御型</t>
    <phoneticPr fontId="2" type="noConversion"/>
  </si>
  <si>
    <t>T9</t>
    <phoneticPr fontId="2" type="noConversion"/>
  </si>
  <si>
    <t>hp</t>
    <phoneticPr fontId="2" type="noConversion"/>
  </si>
  <si>
    <t>def</t>
    <phoneticPr fontId="2" type="noConversion"/>
  </si>
  <si>
    <t>加值</t>
    <phoneticPr fontId="2" type="noConversion"/>
  </si>
  <si>
    <t>-</t>
    <phoneticPr fontId="2" type="noConversion"/>
  </si>
  <si>
    <t>T10</t>
    <phoneticPr fontId="2" type="noConversion"/>
  </si>
  <si>
    <t>最大装弹数增加</t>
    <phoneticPr fontId="2" type="noConversion"/>
  </si>
  <si>
    <t>甲</t>
    <phoneticPr fontId="2" type="noConversion"/>
  </si>
  <si>
    <t>脚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</si>
</sst>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10"/>
      <color rgb="FF10273F"/>
      <name val="Verdana"/>
      <family val="2"/>
    </font>
    <font>
      <sz val="9"/>
      <name val="等线"/>
      <family val="3"/>
      <charset val="134"/>
      <scheme val="minor"/>
    </font>
    <font>
      <sz val="10"/>
      <color rgb="FF10273F"/>
      <name val="宋体"/>
      <family val="3"/>
      <charset val="134"/>
    </font>
    <font>
      <sz val="10"/>
      <color theme="1"/>
      <name val="微软雅黑"/>
      <family val="2"/>
      <charset val="134"/>
    </font>
    <font>
      <sz val="9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0CD"/>
        <bgColor indexed="64"/>
      </patternFill>
    </fill>
  </fills>
  <borders count="30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9" fontId="1" fillId="2" borderId="1" xfId="0" applyNumberFormat="1" applyFont="1" applyFill="1" applyBorder="1" applyAlignment="1">
      <alignment horizontal="left" vertical="center" wrapText="1"/>
    </xf>
    <xf numFmtId="10" fontId="1" fillId="2" borderId="1" xfId="0" applyNumberFormat="1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10" fontId="1" fillId="2" borderId="6" xfId="0" applyNumberFormat="1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5" fillId="0" borderId="20" xfId="0" applyFont="1" applyBorder="1"/>
    <xf numFmtId="0" fontId="5" fillId="0" borderId="8" xfId="0" applyFont="1" applyBorder="1"/>
    <xf numFmtId="0" fontId="5" fillId="0" borderId="21" xfId="0" applyFont="1" applyBorder="1"/>
    <xf numFmtId="0" fontId="5" fillId="0" borderId="22" xfId="0" applyFont="1" applyBorder="1"/>
    <xf numFmtId="0" fontId="5" fillId="0" borderId="9" xfId="0" applyFont="1" applyBorder="1"/>
    <xf numFmtId="0" fontId="5" fillId="0" borderId="23" xfId="0" applyFont="1" applyBorder="1"/>
    <xf numFmtId="0" fontId="5" fillId="0" borderId="24" xfId="0" applyFont="1" applyBorder="1"/>
    <xf numFmtId="0" fontId="5" fillId="0" borderId="10" xfId="0" applyFont="1" applyBorder="1"/>
    <xf numFmtId="0" fontId="5" fillId="0" borderId="25" xfId="0" applyFont="1" applyBorder="1"/>
    <xf numFmtId="0" fontId="5" fillId="0" borderId="26" xfId="0" applyFont="1" applyBorder="1"/>
    <xf numFmtId="0" fontId="5" fillId="0" borderId="27" xfId="0" applyFont="1" applyBorder="1"/>
    <xf numFmtId="0" fontId="5" fillId="0" borderId="28" xfId="0" applyFont="1" applyBorder="1"/>
    <xf numFmtId="0" fontId="5" fillId="0" borderId="29" xfId="0" applyFont="1" applyBorder="1"/>
    <xf numFmtId="0" fontId="5" fillId="0" borderId="0" xfId="0" applyFont="1"/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workbookViewId="0">
      <selection activeCell="A5" sqref="A5"/>
    </sheetView>
  </sheetViews>
  <sheetFormatPr defaultRowHeight="14.25" x14ac:dyDescent="0.2"/>
  <cols>
    <col min="1" max="1" width="22.625" customWidth="1"/>
  </cols>
  <sheetData>
    <row r="1" spans="1:17" ht="15" thickBot="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</row>
    <row r="2" spans="1:17" ht="15" thickBot="1" x14ac:dyDescent="0.25">
      <c r="A2" s="7" t="s">
        <v>17</v>
      </c>
      <c r="B2" s="1">
        <v>0.1</v>
      </c>
      <c r="C2" s="2">
        <v>9.5399999999999999E-2</v>
      </c>
      <c r="D2" s="2">
        <v>0.1094</v>
      </c>
      <c r="E2" s="2">
        <v>0.1234</v>
      </c>
      <c r="F2" s="2">
        <v>0.13750000000000001</v>
      </c>
      <c r="G2" s="2">
        <v>0.1515</v>
      </c>
      <c r="H2" s="2">
        <v>0.16550000000000001</v>
      </c>
      <c r="I2" s="2">
        <v>0.17949999999999999</v>
      </c>
      <c r="J2" s="2">
        <v>0.19350000000000001</v>
      </c>
      <c r="K2" s="2">
        <v>0.20749999999999999</v>
      </c>
      <c r="L2" s="2">
        <v>0.2215</v>
      </c>
      <c r="M2" s="2">
        <v>0.2356</v>
      </c>
      <c r="N2" s="2">
        <v>0.24959999999999999</v>
      </c>
      <c r="O2" s="2">
        <v>0.2636</v>
      </c>
      <c r="P2" s="2">
        <v>0.27760000000000001</v>
      </c>
      <c r="Q2" s="6">
        <v>0.29160000000000003</v>
      </c>
    </row>
    <row r="3" spans="1:17" ht="15" thickBot="1" x14ac:dyDescent="0.25">
      <c r="A3" s="7" t="s">
        <v>18</v>
      </c>
      <c r="B3" s="1">
        <v>0.12</v>
      </c>
      <c r="C3" s="2">
        <v>4.7699999999999999E-2</v>
      </c>
      <c r="D3" s="2">
        <v>5.4699999999999999E-2</v>
      </c>
      <c r="E3" s="2">
        <v>6.1800000000000001E-2</v>
      </c>
      <c r="F3" s="2">
        <v>6.88E-2</v>
      </c>
      <c r="G3" s="2">
        <v>7.5899999999999995E-2</v>
      </c>
      <c r="H3" s="2">
        <v>8.2900000000000001E-2</v>
      </c>
      <c r="I3" s="2">
        <v>0.09</v>
      </c>
      <c r="J3" s="2">
        <v>9.7000000000000003E-2</v>
      </c>
      <c r="K3" s="2">
        <v>0.104</v>
      </c>
      <c r="L3" s="2">
        <v>0.1111</v>
      </c>
      <c r="M3" s="2">
        <v>0.1181</v>
      </c>
      <c r="N3" s="2">
        <v>0.12520000000000001</v>
      </c>
      <c r="O3" s="2">
        <v>0.13220000000000001</v>
      </c>
      <c r="P3" s="2">
        <v>0.13930000000000001</v>
      </c>
      <c r="Q3" s="6">
        <v>0.14630000000000001</v>
      </c>
    </row>
    <row r="4" spans="1:17" ht="15" thickBot="1" x14ac:dyDescent="0.25">
      <c r="A4" s="7" t="s">
        <v>38</v>
      </c>
      <c r="B4" s="1">
        <v>0.12</v>
      </c>
      <c r="C4" s="2">
        <v>0.27839999999999998</v>
      </c>
      <c r="D4" s="2">
        <v>0.31950000000000001</v>
      </c>
      <c r="E4" s="2">
        <v>0.36059999999999998</v>
      </c>
      <c r="F4" s="2">
        <v>0.4017</v>
      </c>
      <c r="G4" s="2">
        <v>0.44280000000000003</v>
      </c>
      <c r="H4" s="2">
        <v>0.4839</v>
      </c>
      <c r="I4" s="2">
        <v>0.52500000000000002</v>
      </c>
      <c r="J4" s="2">
        <v>0.56599999999999995</v>
      </c>
      <c r="K4" s="2">
        <v>0.60709999999999997</v>
      </c>
      <c r="L4" s="2">
        <v>0.6482</v>
      </c>
      <c r="M4" s="2">
        <v>0.68930000000000002</v>
      </c>
      <c r="N4" s="2">
        <v>0.73040000000000005</v>
      </c>
      <c r="O4" s="2">
        <v>0.77149999999999996</v>
      </c>
      <c r="P4" s="2">
        <v>0.81259999999999999</v>
      </c>
      <c r="Q4" s="6">
        <v>0.85370000000000001</v>
      </c>
    </row>
    <row r="5" spans="1:17" ht="15" thickBot="1" x14ac:dyDescent="0.25">
      <c r="A5" s="7" t="s">
        <v>19</v>
      </c>
      <c r="B5" s="1">
        <v>0.1</v>
      </c>
      <c r="C5" s="2">
        <v>4.7699999999999999E-2</v>
      </c>
      <c r="D5" s="2">
        <v>5.4699999999999999E-2</v>
      </c>
      <c r="E5" s="2">
        <v>6.1800000000000001E-2</v>
      </c>
      <c r="F5" s="2">
        <v>6.88E-2</v>
      </c>
      <c r="G5" s="2">
        <v>7.5899999999999995E-2</v>
      </c>
      <c r="H5" s="2">
        <v>8.2900000000000001E-2</v>
      </c>
      <c r="I5" s="2">
        <v>0.09</v>
      </c>
      <c r="J5" s="2">
        <v>9.7000000000000003E-2</v>
      </c>
      <c r="K5" s="2">
        <v>0.104</v>
      </c>
      <c r="L5" s="2">
        <v>0.1111</v>
      </c>
      <c r="M5" s="2">
        <v>0.1181</v>
      </c>
      <c r="N5" s="2">
        <v>0.12520000000000001</v>
      </c>
      <c r="O5" s="2">
        <v>0.13220000000000001</v>
      </c>
      <c r="P5" s="2">
        <v>0.13930000000000001</v>
      </c>
      <c r="Q5" s="6">
        <v>0.14630000000000001</v>
      </c>
    </row>
    <row r="6" spans="1:17" ht="15" thickBot="1" x14ac:dyDescent="0.25">
      <c r="A6" s="7" t="s">
        <v>20</v>
      </c>
      <c r="B6" s="1">
        <v>0.12</v>
      </c>
      <c r="C6" s="2">
        <v>4.7699999999999999E-2</v>
      </c>
      <c r="D6" s="2">
        <v>5.4699999999999999E-2</v>
      </c>
      <c r="E6" s="2">
        <v>6.1800000000000001E-2</v>
      </c>
      <c r="F6" s="2">
        <v>6.88E-2</v>
      </c>
      <c r="G6" s="2">
        <v>7.5899999999999995E-2</v>
      </c>
      <c r="H6" s="2">
        <v>8.2900000000000001E-2</v>
      </c>
      <c r="I6" s="2">
        <v>0.09</v>
      </c>
      <c r="J6" s="2">
        <v>9.7000000000000003E-2</v>
      </c>
      <c r="K6" s="2">
        <v>0.104</v>
      </c>
      <c r="L6" s="2">
        <v>0.1111</v>
      </c>
      <c r="M6" s="2">
        <v>0.1181</v>
      </c>
      <c r="N6" s="2">
        <v>0.12520000000000001</v>
      </c>
      <c r="O6" s="2">
        <v>0.13220000000000001</v>
      </c>
      <c r="P6" s="2">
        <v>0.13930000000000001</v>
      </c>
      <c r="Q6" s="6">
        <v>0.14630000000000001</v>
      </c>
    </row>
    <row r="7" spans="1:17" ht="15" thickBot="1" x14ac:dyDescent="0.25">
      <c r="A7" s="7" t="s">
        <v>21</v>
      </c>
      <c r="B7" s="1">
        <v>0.12</v>
      </c>
      <c r="C7" s="2">
        <v>1.9800000000000002E-2</v>
      </c>
      <c r="D7" s="2">
        <v>2.2800000000000001E-2</v>
      </c>
      <c r="E7" s="2">
        <v>2.5700000000000001E-2</v>
      </c>
      <c r="F7" s="2">
        <v>2.86E-2</v>
      </c>
      <c r="G7" s="2">
        <v>3.1600000000000003E-2</v>
      </c>
      <c r="H7" s="2">
        <v>3.4500000000000003E-2</v>
      </c>
      <c r="I7" s="2">
        <v>3.7499999999999999E-2</v>
      </c>
      <c r="J7" s="2">
        <v>4.0399999999999998E-2</v>
      </c>
      <c r="K7" s="2">
        <v>4.3299999999999998E-2</v>
      </c>
      <c r="L7" s="2">
        <v>4.6300000000000001E-2</v>
      </c>
      <c r="M7" s="2">
        <v>4.9200000000000001E-2</v>
      </c>
      <c r="N7" s="2">
        <v>5.21E-2</v>
      </c>
      <c r="O7" s="2">
        <v>5.5100000000000003E-2</v>
      </c>
      <c r="P7" s="2">
        <v>5.8000000000000003E-2</v>
      </c>
      <c r="Q7" s="6">
        <v>6.0900000000000003E-2</v>
      </c>
    </row>
    <row r="8" spans="1:17" ht="15" thickBot="1" x14ac:dyDescent="0.25">
      <c r="A8" s="7" t="s">
        <v>22</v>
      </c>
      <c r="B8" s="1">
        <v>0.12</v>
      </c>
      <c r="C8" s="2">
        <v>2.3E-2</v>
      </c>
      <c r="D8" s="2">
        <v>2.64E-2</v>
      </c>
      <c r="E8" s="2">
        <v>2.98E-2</v>
      </c>
      <c r="F8" s="2">
        <v>3.32E-2</v>
      </c>
      <c r="G8" s="2">
        <v>3.6600000000000001E-2</v>
      </c>
      <c r="H8" s="2">
        <v>0.04</v>
      </c>
      <c r="I8" s="2">
        <v>4.3499999999999997E-2</v>
      </c>
      <c r="J8" s="2">
        <v>4.6899999999999997E-2</v>
      </c>
      <c r="K8" s="2">
        <v>5.0299999999999997E-2</v>
      </c>
      <c r="L8" s="2">
        <v>5.3699999999999998E-2</v>
      </c>
      <c r="M8" s="2">
        <v>5.7000000000000002E-2</v>
      </c>
      <c r="N8" s="2">
        <v>6.0499999999999998E-2</v>
      </c>
      <c r="O8" s="2">
        <v>6.3899999999999998E-2</v>
      </c>
      <c r="P8" s="2">
        <v>6.7299999999999999E-2</v>
      </c>
      <c r="Q8" s="6">
        <v>7.0699999999999999E-2</v>
      </c>
    </row>
    <row r="9" spans="1:17" ht="15" thickBot="1" x14ac:dyDescent="0.25">
      <c r="A9" s="7" t="s">
        <v>23</v>
      </c>
      <c r="B9" s="1">
        <v>0.1</v>
      </c>
      <c r="C9" s="2">
        <v>6.6400000000000001E-2</v>
      </c>
      <c r="D9" s="2">
        <v>7.6200000000000004E-2</v>
      </c>
      <c r="E9" s="2">
        <v>8.5999999999999993E-2</v>
      </c>
      <c r="F9" s="2">
        <v>9.5799999999999996E-2</v>
      </c>
      <c r="G9" s="2">
        <v>0.1056</v>
      </c>
      <c r="H9" s="2">
        <v>0.1154</v>
      </c>
      <c r="I9" s="2">
        <v>0.12520000000000001</v>
      </c>
      <c r="J9" s="2">
        <v>0.13500000000000001</v>
      </c>
      <c r="K9" s="2">
        <v>0.14480000000000001</v>
      </c>
      <c r="L9" s="2">
        <v>0.15459999999999999</v>
      </c>
      <c r="M9" s="2">
        <v>0.16439999999999999</v>
      </c>
      <c r="N9" s="2">
        <v>0.17419999999999999</v>
      </c>
      <c r="O9" s="2">
        <v>0.184</v>
      </c>
      <c r="P9" s="2">
        <v>0.1938</v>
      </c>
      <c r="Q9" s="6">
        <v>0.2036</v>
      </c>
    </row>
    <row r="10" spans="1:17" ht="15" thickBot="1" x14ac:dyDescent="0.25">
      <c r="A10" s="7" t="s">
        <v>24</v>
      </c>
      <c r="B10" s="1">
        <v>0.1</v>
      </c>
      <c r="C10" s="2">
        <v>4.7699999999999999E-2</v>
      </c>
      <c r="D10" s="2">
        <v>5.4699999999999999E-2</v>
      </c>
      <c r="E10" s="2">
        <v>6.1800000000000001E-2</v>
      </c>
      <c r="F10" s="2">
        <v>6.88E-2</v>
      </c>
      <c r="G10" s="2">
        <v>7.5899999999999995E-2</v>
      </c>
      <c r="H10" s="2">
        <v>8.2900000000000001E-2</v>
      </c>
      <c r="I10" s="2">
        <v>0.09</v>
      </c>
      <c r="J10" s="2">
        <v>9.7000000000000003E-2</v>
      </c>
      <c r="K10" s="2">
        <v>0.104</v>
      </c>
      <c r="L10" s="2">
        <v>0.1111</v>
      </c>
      <c r="M10" s="2">
        <v>0.1181</v>
      </c>
      <c r="N10" s="2">
        <v>0.12520000000000001</v>
      </c>
      <c r="O10" s="2">
        <v>0.13220000000000001</v>
      </c>
      <c r="P10" s="2">
        <v>0.13930000000000001</v>
      </c>
      <c r="Q10" s="6">
        <v>0.14630000000000001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60F5F-6B5A-48FA-B9E5-B9385F2941F8}">
  <dimension ref="A1:V26"/>
  <sheetViews>
    <sheetView workbookViewId="0">
      <selection activeCell="C3" sqref="C3:C26"/>
    </sheetView>
  </sheetViews>
  <sheetFormatPr defaultRowHeight="14.25" x14ac:dyDescent="0.2"/>
  <cols>
    <col min="1" max="1" width="3.625" customWidth="1"/>
    <col min="2" max="2" width="6.25" customWidth="1"/>
    <col min="3" max="3" width="2.75" customWidth="1"/>
    <col min="4" max="9" width="4.5" customWidth="1"/>
    <col min="10" max="15" width="5.75" customWidth="1"/>
    <col min="16" max="21" width="4.875" customWidth="1"/>
  </cols>
  <sheetData>
    <row r="1" spans="1:22" ht="16.5" x14ac:dyDescent="0.2">
      <c r="A1" s="32"/>
      <c r="B1" s="32"/>
      <c r="C1" s="33"/>
      <c r="D1" s="34" t="s">
        <v>25</v>
      </c>
      <c r="E1" s="35"/>
      <c r="F1" s="35"/>
      <c r="G1" s="35"/>
      <c r="H1" s="35"/>
      <c r="I1" s="36"/>
      <c r="J1" s="34" t="s">
        <v>33</v>
      </c>
      <c r="K1" s="35"/>
      <c r="L1" s="35"/>
      <c r="M1" s="35"/>
      <c r="N1" s="35"/>
      <c r="O1" s="36"/>
      <c r="P1" s="34" t="s">
        <v>34</v>
      </c>
      <c r="Q1" s="35"/>
      <c r="R1" s="35"/>
      <c r="S1" s="35"/>
      <c r="T1" s="35"/>
      <c r="U1" s="36"/>
    </row>
    <row r="2" spans="1:22" ht="16.5" x14ac:dyDescent="0.2">
      <c r="A2" s="32"/>
      <c r="B2" s="32"/>
      <c r="C2" s="33"/>
      <c r="D2" s="16">
        <v>0</v>
      </c>
      <c r="E2" s="17">
        <v>1</v>
      </c>
      <c r="F2" s="17">
        <v>2</v>
      </c>
      <c r="G2" s="17">
        <v>3</v>
      </c>
      <c r="H2" s="8">
        <v>4</v>
      </c>
      <c r="I2" s="15">
        <v>5</v>
      </c>
      <c r="J2" s="16">
        <v>0</v>
      </c>
      <c r="K2" s="17">
        <v>1</v>
      </c>
      <c r="L2" s="17">
        <v>2</v>
      </c>
      <c r="M2" s="17">
        <v>3</v>
      </c>
      <c r="N2" s="8">
        <v>4</v>
      </c>
      <c r="O2" s="15">
        <v>5</v>
      </c>
      <c r="P2" s="16">
        <v>0</v>
      </c>
      <c r="Q2" s="17">
        <v>1</v>
      </c>
      <c r="R2" s="17">
        <v>2</v>
      </c>
      <c r="S2" s="17">
        <v>3</v>
      </c>
      <c r="T2" s="8">
        <v>4</v>
      </c>
      <c r="U2" s="15">
        <v>5</v>
      </c>
    </row>
    <row r="3" spans="1:22" ht="16.5" x14ac:dyDescent="0.2">
      <c r="A3" s="9" t="s">
        <v>28</v>
      </c>
      <c r="B3" s="9" t="s">
        <v>29</v>
      </c>
      <c r="C3" s="12" t="s">
        <v>26</v>
      </c>
      <c r="D3" s="18">
        <v>6014</v>
      </c>
      <c r="E3" s="22">
        <v>6615</v>
      </c>
      <c r="F3" s="22">
        <v>7217</v>
      </c>
      <c r="G3" s="22">
        <v>7818</v>
      </c>
      <c r="H3" s="22">
        <v>8420</v>
      </c>
      <c r="I3" s="22">
        <v>9021</v>
      </c>
      <c r="J3" s="18">
        <v>49181</v>
      </c>
      <c r="K3" s="22">
        <v>54099</v>
      </c>
      <c r="L3" s="22">
        <v>59017</v>
      </c>
      <c r="M3" s="22">
        <v>63935</v>
      </c>
      <c r="N3" s="22">
        <v>68853</v>
      </c>
      <c r="O3" s="22">
        <v>73771</v>
      </c>
      <c r="P3" s="18">
        <v>0</v>
      </c>
      <c r="Q3" s="22">
        <v>0</v>
      </c>
      <c r="R3" s="22">
        <v>0</v>
      </c>
      <c r="S3" s="22">
        <v>0</v>
      </c>
      <c r="T3" s="22">
        <v>0</v>
      </c>
      <c r="U3" s="23">
        <v>0</v>
      </c>
    </row>
    <row r="4" spans="1:22" ht="16.5" x14ac:dyDescent="0.2">
      <c r="A4" s="10" t="s">
        <v>28</v>
      </c>
      <c r="B4" s="10" t="s">
        <v>29</v>
      </c>
      <c r="C4" s="13" t="s">
        <v>27</v>
      </c>
      <c r="D4" s="21">
        <v>3827</v>
      </c>
      <c r="E4" s="22">
        <v>4210</v>
      </c>
      <c r="F4" s="22">
        <v>4592</v>
      </c>
      <c r="G4" s="22">
        <v>4975</v>
      </c>
      <c r="H4" s="22">
        <v>5358</v>
      </c>
      <c r="I4" s="22">
        <v>5741</v>
      </c>
      <c r="J4" s="21">
        <v>0</v>
      </c>
      <c r="K4" s="22">
        <v>0</v>
      </c>
      <c r="L4" s="22">
        <v>0</v>
      </c>
      <c r="M4" s="22">
        <v>0</v>
      </c>
      <c r="N4" s="22">
        <v>0</v>
      </c>
      <c r="O4" s="23">
        <v>0</v>
      </c>
      <c r="P4" s="21">
        <v>654</v>
      </c>
      <c r="Q4" s="22">
        <v>719</v>
      </c>
      <c r="R4" s="22">
        <v>785</v>
      </c>
      <c r="S4" s="22">
        <v>850</v>
      </c>
      <c r="T4" s="22">
        <v>916</v>
      </c>
      <c r="U4" s="23">
        <v>981</v>
      </c>
    </row>
    <row r="5" spans="1:22" ht="16.5" x14ac:dyDescent="0.2">
      <c r="A5" s="10" t="s">
        <v>28</v>
      </c>
      <c r="B5" s="10" t="s">
        <v>29</v>
      </c>
      <c r="C5" s="13" t="s">
        <v>39</v>
      </c>
      <c r="D5" s="21">
        <v>1093</v>
      </c>
      <c r="E5" s="22">
        <v>1202</v>
      </c>
      <c r="F5" s="22">
        <v>1312</v>
      </c>
      <c r="G5" s="22">
        <v>1421</v>
      </c>
      <c r="H5" s="22">
        <v>1530</v>
      </c>
      <c r="I5" s="22">
        <v>1639</v>
      </c>
      <c r="J5" s="21">
        <v>159840</v>
      </c>
      <c r="K5" s="22">
        <v>175824</v>
      </c>
      <c r="L5" s="22">
        <v>191808</v>
      </c>
      <c r="M5" s="22">
        <v>207792</v>
      </c>
      <c r="N5" s="22">
        <v>223776</v>
      </c>
      <c r="O5" s="23">
        <v>239760</v>
      </c>
      <c r="P5" s="21">
        <v>0</v>
      </c>
      <c r="Q5" s="22">
        <v>0</v>
      </c>
      <c r="R5" s="22">
        <v>0</v>
      </c>
      <c r="S5" s="22">
        <v>0</v>
      </c>
      <c r="T5" s="22">
        <v>0</v>
      </c>
      <c r="U5" s="23">
        <v>0</v>
      </c>
    </row>
    <row r="6" spans="1:22" ht="16.5" x14ac:dyDescent="0.2">
      <c r="A6" s="11" t="s">
        <v>28</v>
      </c>
      <c r="B6" s="11" t="s">
        <v>29</v>
      </c>
      <c r="C6" s="14" t="s">
        <v>40</v>
      </c>
      <c r="D6" s="24">
        <v>0</v>
      </c>
      <c r="E6" s="25">
        <v>0</v>
      </c>
      <c r="F6" s="25">
        <v>0</v>
      </c>
      <c r="G6" s="25">
        <v>0</v>
      </c>
      <c r="H6" s="25">
        <v>0</v>
      </c>
      <c r="I6" s="26">
        <v>0</v>
      </c>
      <c r="J6" s="24">
        <v>36887</v>
      </c>
      <c r="K6" s="22">
        <v>40576</v>
      </c>
      <c r="L6" s="22">
        <v>44264</v>
      </c>
      <c r="M6" s="22">
        <v>47953</v>
      </c>
      <c r="N6" s="22">
        <v>51642</v>
      </c>
      <c r="O6" s="22">
        <v>55331</v>
      </c>
      <c r="P6" s="24">
        <v>981</v>
      </c>
      <c r="Q6" s="22">
        <v>1079</v>
      </c>
      <c r="R6" s="22">
        <v>1177</v>
      </c>
      <c r="S6" s="22">
        <v>1275</v>
      </c>
      <c r="T6" s="22">
        <v>1373</v>
      </c>
      <c r="U6" s="23">
        <v>1471</v>
      </c>
    </row>
    <row r="7" spans="1:22" ht="16.5" x14ac:dyDescent="0.2">
      <c r="A7" s="9" t="s">
        <v>28</v>
      </c>
      <c r="B7" s="9" t="s">
        <v>30</v>
      </c>
      <c r="C7" s="12" t="s">
        <v>26</v>
      </c>
      <c r="D7" s="18">
        <v>5012</v>
      </c>
      <c r="E7" s="22">
        <v>5513</v>
      </c>
      <c r="F7" s="22">
        <v>6014</v>
      </c>
      <c r="G7" s="22">
        <v>6516</v>
      </c>
      <c r="H7" s="22">
        <v>7017</v>
      </c>
      <c r="I7" s="22">
        <v>7518</v>
      </c>
      <c r="J7" s="18">
        <v>54646</v>
      </c>
      <c r="K7" s="22">
        <v>60111</v>
      </c>
      <c r="L7" s="22">
        <v>65575</v>
      </c>
      <c r="M7" s="22">
        <v>71040</v>
      </c>
      <c r="N7" s="22">
        <v>76504</v>
      </c>
      <c r="O7" s="22">
        <v>81969</v>
      </c>
      <c r="P7" s="18">
        <v>0</v>
      </c>
      <c r="Q7" s="22">
        <v>0</v>
      </c>
      <c r="R7" s="22">
        <v>0</v>
      </c>
      <c r="S7" s="22">
        <v>0</v>
      </c>
      <c r="T7" s="22">
        <v>0</v>
      </c>
      <c r="U7" s="23">
        <v>0</v>
      </c>
    </row>
    <row r="8" spans="1:22" ht="16.5" x14ac:dyDescent="0.2">
      <c r="A8" s="10" t="s">
        <v>28</v>
      </c>
      <c r="B8" s="10" t="s">
        <v>30</v>
      </c>
      <c r="C8" s="13" t="s">
        <v>27</v>
      </c>
      <c r="D8" s="21">
        <v>3189</v>
      </c>
      <c r="E8" s="22">
        <v>3508</v>
      </c>
      <c r="F8" s="22">
        <v>3827</v>
      </c>
      <c r="G8" s="22">
        <v>4146</v>
      </c>
      <c r="H8" s="22">
        <v>4465</v>
      </c>
      <c r="I8" s="22">
        <v>4783</v>
      </c>
      <c r="J8" s="21">
        <v>0</v>
      </c>
      <c r="K8" s="22">
        <v>0</v>
      </c>
      <c r="L8" s="22">
        <v>0</v>
      </c>
      <c r="M8" s="22">
        <v>0</v>
      </c>
      <c r="N8" s="22">
        <v>0</v>
      </c>
      <c r="O8" s="23">
        <v>0</v>
      </c>
      <c r="P8" s="21">
        <v>727</v>
      </c>
      <c r="Q8" s="22">
        <v>800</v>
      </c>
      <c r="R8" s="22">
        <v>872</v>
      </c>
      <c r="S8" s="22">
        <v>945</v>
      </c>
      <c r="T8" s="22">
        <v>1018</v>
      </c>
      <c r="U8" s="23">
        <v>1091</v>
      </c>
    </row>
    <row r="9" spans="1:22" ht="16.5" x14ac:dyDescent="0.2">
      <c r="A9" s="10" t="s">
        <v>28</v>
      </c>
      <c r="B9" s="10" t="s">
        <v>30</v>
      </c>
      <c r="C9" s="13" t="s">
        <v>39</v>
      </c>
      <c r="D9" s="21">
        <v>911</v>
      </c>
      <c r="E9" s="22">
        <v>1002</v>
      </c>
      <c r="F9" s="22">
        <v>1093</v>
      </c>
      <c r="G9" s="22">
        <v>1184</v>
      </c>
      <c r="H9" s="22">
        <v>1275</v>
      </c>
      <c r="I9" s="22">
        <v>1367</v>
      </c>
      <c r="J9" s="21">
        <v>177600</v>
      </c>
      <c r="K9" s="22">
        <v>195360</v>
      </c>
      <c r="L9" s="22">
        <v>213120</v>
      </c>
      <c r="M9" s="22">
        <v>230880</v>
      </c>
      <c r="N9" s="22">
        <v>248640</v>
      </c>
      <c r="O9" s="22">
        <v>266400</v>
      </c>
      <c r="P9" s="21">
        <v>0</v>
      </c>
      <c r="Q9" s="22">
        <v>0</v>
      </c>
      <c r="R9" s="22">
        <v>0</v>
      </c>
      <c r="S9" s="22">
        <v>0</v>
      </c>
      <c r="T9" s="22">
        <v>0</v>
      </c>
      <c r="U9" s="23">
        <v>0</v>
      </c>
    </row>
    <row r="10" spans="1:22" ht="16.5" x14ac:dyDescent="0.2">
      <c r="A10" s="11" t="s">
        <v>28</v>
      </c>
      <c r="B10" s="11" t="s">
        <v>30</v>
      </c>
      <c r="C10" s="14" t="s">
        <v>40</v>
      </c>
      <c r="D10" s="24">
        <v>0</v>
      </c>
      <c r="E10" s="25">
        <v>0</v>
      </c>
      <c r="F10" s="25">
        <v>0</v>
      </c>
      <c r="G10" s="25">
        <v>0</v>
      </c>
      <c r="H10" s="25">
        <v>0</v>
      </c>
      <c r="I10" s="26">
        <v>0</v>
      </c>
      <c r="J10" s="24">
        <v>40985</v>
      </c>
      <c r="K10" s="22">
        <v>45083</v>
      </c>
      <c r="L10" s="22">
        <v>49182</v>
      </c>
      <c r="M10" s="22">
        <v>53281</v>
      </c>
      <c r="N10" s="22">
        <v>57379</v>
      </c>
      <c r="O10" s="22">
        <v>61477</v>
      </c>
      <c r="P10" s="24">
        <v>1090</v>
      </c>
      <c r="Q10" s="22">
        <v>1199</v>
      </c>
      <c r="R10" s="22">
        <v>1308</v>
      </c>
      <c r="S10" s="22">
        <v>1417</v>
      </c>
      <c r="T10" s="22">
        <v>1526</v>
      </c>
      <c r="U10" s="23">
        <v>1635</v>
      </c>
      <c r="V10" s="31"/>
    </row>
    <row r="11" spans="1:22" ht="16.5" x14ac:dyDescent="0.2">
      <c r="A11" s="9" t="s">
        <v>37</v>
      </c>
      <c r="B11" s="9" t="s">
        <v>31</v>
      </c>
      <c r="C11" s="12" t="s">
        <v>26</v>
      </c>
      <c r="D11" s="18">
        <v>4010</v>
      </c>
      <c r="E11" s="19">
        <v>4411</v>
      </c>
      <c r="F11" s="19">
        <v>4812</v>
      </c>
      <c r="G11" s="19">
        <v>5213</v>
      </c>
      <c r="H11" s="19">
        <v>5614</v>
      </c>
      <c r="I11" s="19">
        <v>6015</v>
      </c>
      <c r="J11" s="18">
        <v>60111</v>
      </c>
      <c r="K11" s="19">
        <v>66122</v>
      </c>
      <c r="L11" s="19">
        <v>72133</v>
      </c>
      <c r="M11" s="19">
        <v>78144</v>
      </c>
      <c r="N11" s="19">
        <v>84155</v>
      </c>
      <c r="O11" s="19">
        <v>90167</v>
      </c>
      <c r="P11" s="18">
        <v>0</v>
      </c>
      <c r="Q11" s="19">
        <v>0</v>
      </c>
      <c r="R11" s="19">
        <v>0</v>
      </c>
      <c r="S11" s="19">
        <v>0</v>
      </c>
      <c r="T11" s="19">
        <v>0</v>
      </c>
      <c r="U11" s="20">
        <v>0</v>
      </c>
    </row>
    <row r="12" spans="1:22" ht="16.5" x14ac:dyDescent="0.2">
      <c r="A12" s="10" t="s">
        <v>37</v>
      </c>
      <c r="B12" s="10" t="s">
        <v>31</v>
      </c>
      <c r="C12" s="13" t="s">
        <v>27</v>
      </c>
      <c r="D12" s="21">
        <v>2551</v>
      </c>
      <c r="E12" s="22">
        <v>2806</v>
      </c>
      <c r="F12" s="22">
        <v>3061</v>
      </c>
      <c r="G12" s="22">
        <v>3316</v>
      </c>
      <c r="H12" s="22">
        <v>3571</v>
      </c>
      <c r="I12" s="22">
        <v>3827</v>
      </c>
      <c r="J12" s="21">
        <v>0</v>
      </c>
      <c r="K12" s="22">
        <v>0</v>
      </c>
      <c r="L12" s="22">
        <v>0</v>
      </c>
      <c r="M12" s="22">
        <v>0</v>
      </c>
      <c r="N12" s="22">
        <v>0</v>
      </c>
      <c r="O12" s="23">
        <v>0</v>
      </c>
      <c r="P12" s="21">
        <v>800</v>
      </c>
      <c r="Q12" s="22">
        <v>880</v>
      </c>
      <c r="R12" s="22">
        <v>960</v>
      </c>
      <c r="S12" s="22">
        <v>1040</v>
      </c>
      <c r="T12" s="22">
        <v>1120</v>
      </c>
      <c r="U12" s="23">
        <v>1200</v>
      </c>
    </row>
    <row r="13" spans="1:22" ht="16.5" x14ac:dyDescent="0.2">
      <c r="A13" s="10" t="s">
        <v>37</v>
      </c>
      <c r="B13" s="10" t="s">
        <v>31</v>
      </c>
      <c r="C13" s="13" t="s">
        <v>39</v>
      </c>
      <c r="D13" s="21">
        <v>729</v>
      </c>
      <c r="E13" s="22">
        <v>802</v>
      </c>
      <c r="F13" s="22">
        <v>875</v>
      </c>
      <c r="G13" s="22">
        <v>948</v>
      </c>
      <c r="H13" s="22">
        <v>1021</v>
      </c>
      <c r="I13" s="22">
        <v>1093</v>
      </c>
      <c r="J13" s="21">
        <v>195360</v>
      </c>
      <c r="K13" s="25">
        <v>214896</v>
      </c>
      <c r="L13" s="25">
        <v>234432</v>
      </c>
      <c r="M13" s="25">
        <v>253968</v>
      </c>
      <c r="N13" s="25">
        <v>273504</v>
      </c>
      <c r="O13" s="25">
        <v>293040</v>
      </c>
      <c r="P13" s="21">
        <v>0</v>
      </c>
      <c r="Q13" s="25">
        <v>0</v>
      </c>
      <c r="R13" s="25">
        <v>0</v>
      </c>
      <c r="S13" s="25">
        <v>0</v>
      </c>
      <c r="T13" s="25">
        <v>0</v>
      </c>
      <c r="U13" s="26">
        <v>0</v>
      </c>
    </row>
    <row r="14" spans="1:22" ht="16.5" x14ac:dyDescent="0.2">
      <c r="A14" s="11" t="s">
        <v>37</v>
      </c>
      <c r="B14" s="11" t="s">
        <v>31</v>
      </c>
      <c r="C14" s="14" t="s">
        <v>40</v>
      </c>
      <c r="D14" s="24">
        <v>0</v>
      </c>
      <c r="E14" s="25">
        <v>0</v>
      </c>
      <c r="F14" s="25">
        <v>0</v>
      </c>
      <c r="G14" s="25">
        <v>0</v>
      </c>
      <c r="H14" s="25">
        <v>0</v>
      </c>
      <c r="I14" s="26">
        <v>0</v>
      </c>
      <c r="J14" s="24">
        <v>45084</v>
      </c>
      <c r="K14" s="25">
        <v>49592</v>
      </c>
      <c r="L14" s="25">
        <v>54101</v>
      </c>
      <c r="M14" s="25">
        <v>58609</v>
      </c>
      <c r="N14" s="25">
        <v>63118</v>
      </c>
      <c r="O14" s="25">
        <v>67626</v>
      </c>
      <c r="P14" s="24">
        <v>1199</v>
      </c>
      <c r="Q14" s="25">
        <v>1319</v>
      </c>
      <c r="R14" s="25">
        <v>1439</v>
      </c>
      <c r="S14" s="25">
        <v>1559</v>
      </c>
      <c r="T14" s="25">
        <v>1679</v>
      </c>
      <c r="U14" s="26">
        <v>1799</v>
      </c>
    </row>
    <row r="15" spans="1:22" ht="16.5" x14ac:dyDescent="0.2">
      <c r="A15" s="9" t="s">
        <v>32</v>
      </c>
      <c r="B15" s="9" t="s">
        <v>29</v>
      </c>
      <c r="C15" s="12" t="s">
        <v>26</v>
      </c>
      <c r="D15" s="18"/>
      <c r="E15" s="19"/>
      <c r="F15" s="19"/>
      <c r="G15" s="19"/>
      <c r="H15" s="19"/>
      <c r="I15" s="20"/>
      <c r="J15" s="18"/>
      <c r="K15" s="19"/>
      <c r="L15" s="19"/>
      <c r="M15" s="19"/>
      <c r="N15" s="19"/>
      <c r="O15" s="20"/>
      <c r="P15" s="18">
        <v>0</v>
      </c>
      <c r="Q15" s="19">
        <v>0</v>
      </c>
      <c r="R15" s="19">
        <v>0</v>
      </c>
      <c r="S15" s="19">
        <v>0</v>
      </c>
      <c r="T15" s="19">
        <v>0</v>
      </c>
      <c r="U15" s="20">
        <v>0</v>
      </c>
    </row>
    <row r="16" spans="1:22" ht="16.5" x14ac:dyDescent="0.2">
      <c r="A16" s="10" t="s">
        <v>32</v>
      </c>
      <c r="B16" s="10" t="s">
        <v>29</v>
      </c>
      <c r="C16" s="13" t="s">
        <v>27</v>
      </c>
      <c r="D16" s="21"/>
      <c r="E16" s="22"/>
      <c r="F16" s="22"/>
      <c r="G16" s="22"/>
      <c r="H16" s="22"/>
      <c r="I16" s="23"/>
      <c r="J16" s="21">
        <v>0</v>
      </c>
      <c r="K16" s="22">
        <v>0</v>
      </c>
      <c r="L16" s="22">
        <v>0</v>
      </c>
      <c r="M16" s="22">
        <v>0</v>
      </c>
      <c r="N16" s="22">
        <v>0</v>
      </c>
      <c r="O16" s="23">
        <v>0</v>
      </c>
      <c r="P16" s="21"/>
      <c r="Q16" s="22"/>
      <c r="R16" s="22"/>
      <c r="S16" s="22"/>
      <c r="T16" s="22"/>
      <c r="U16" s="23"/>
    </row>
    <row r="17" spans="1:21" ht="16.5" x14ac:dyDescent="0.2">
      <c r="A17" s="10" t="s">
        <v>32</v>
      </c>
      <c r="B17" s="10" t="s">
        <v>29</v>
      </c>
      <c r="C17" s="13" t="s">
        <v>39</v>
      </c>
      <c r="D17" s="21"/>
      <c r="E17" s="22"/>
      <c r="F17" s="22"/>
      <c r="G17" s="22"/>
      <c r="H17" s="22"/>
      <c r="I17" s="23"/>
      <c r="J17" s="21"/>
      <c r="K17" s="22"/>
      <c r="L17" s="22"/>
      <c r="M17" s="22"/>
      <c r="N17" s="22"/>
      <c r="O17" s="23"/>
      <c r="P17" s="21">
        <v>0</v>
      </c>
      <c r="Q17" s="22">
        <v>0</v>
      </c>
      <c r="R17" s="22">
        <v>0</v>
      </c>
      <c r="S17" s="22">
        <v>0</v>
      </c>
      <c r="T17" s="22">
        <v>0</v>
      </c>
      <c r="U17" s="23">
        <v>0</v>
      </c>
    </row>
    <row r="18" spans="1:21" ht="16.5" x14ac:dyDescent="0.2">
      <c r="A18" s="11" t="s">
        <v>32</v>
      </c>
      <c r="B18" s="11" t="s">
        <v>29</v>
      </c>
      <c r="C18" s="14" t="s">
        <v>40</v>
      </c>
      <c r="D18" s="24">
        <v>0</v>
      </c>
      <c r="E18" s="25">
        <v>0</v>
      </c>
      <c r="F18" s="25">
        <v>0</v>
      </c>
      <c r="G18" s="25">
        <v>0</v>
      </c>
      <c r="H18" s="25">
        <v>0</v>
      </c>
      <c r="I18" s="26">
        <v>0</v>
      </c>
      <c r="J18" s="24"/>
      <c r="K18" s="25"/>
      <c r="L18" s="25"/>
      <c r="M18" s="25"/>
      <c r="N18" s="25"/>
      <c r="O18" s="26"/>
      <c r="P18" s="24"/>
      <c r="Q18" s="25"/>
      <c r="R18" s="25"/>
      <c r="S18" s="25"/>
      <c r="T18" s="25"/>
      <c r="U18" s="26"/>
    </row>
    <row r="19" spans="1:21" ht="16.5" x14ac:dyDescent="0.2">
      <c r="A19" s="9" t="s">
        <v>32</v>
      </c>
      <c r="B19" s="9" t="s">
        <v>30</v>
      </c>
      <c r="C19" s="12" t="s">
        <v>26</v>
      </c>
      <c r="D19" s="18"/>
      <c r="E19" s="19"/>
      <c r="F19" s="19"/>
      <c r="G19" s="19"/>
      <c r="H19" s="19"/>
      <c r="I19" s="20"/>
      <c r="J19" s="18"/>
      <c r="K19" s="19"/>
      <c r="L19" s="19"/>
      <c r="M19" s="19"/>
      <c r="N19" s="19"/>
      <c r="O19" s="20"/>
      <c r="P19" s="18">
        <v>0</v>
      </c>
      <c r="Q19" s="19">
        <v>0</v>
      </c>
      <c r="R19" s="19">
        <v>0</v>
      </c>
      <c r="S19" s="19">
        <v>0</v>
      </c>
      <c r="T19" s="19">
        <v>0</v>
      </c>
      <c r="U19" s="20">
        <v>0</v>
      </c>
    </row>
    <row r="20" spans="1:21" ht="16.5" x14ac:dyDescent="0.2">
      <c r="A20" s="10" t="s">
        <v>32</v>
      </c>
      <c r="B20" s="10" t="s">
        <v>30</v>
      </c>
      <c r="C20" s="13" t="s">
        <v>27</v>
      </c>
      <c r="D20" s="21"/>
      <c r="E20" s="22"/>
      <c r="F20" s="22"/>
      <c r="G20" s="22"/>
      <c r="H20" s="22"/>
      <c r="I20" s="23"/>
      <c r="J20" s="21">
        <v>0</v>
      </c>
      <c r="K20" s="22">
        <v>0</v>
      </c>
      <c r="L20" s="22">
        <v>0</v>
      </c>
      <c r="M20" s="22">
        <v>0</v>
      </c>
      <c r="N20" s="22">
        <v>0</v>
      </c>
      <c r="O20" s="23">
        <v>0</v>
      </c>
      <c r="P20" s="21"/>
      <c r="Q20" s="22"/>
      <c r="R20" s="22"/>
      <c r="S20" s="22"/>
      <c r="T20" s="22"/>
      <c r="U20" s="23"/>
    </row>
    <row r="21" spans="1:21" ht="16.5" x14ac:dyDescent="0.2">
      <c r="A21" s="10" t="s">
        <v>32</v>
      </c>
      <c r="B21" s="10" t="s">
        <v>30</v>
      </c>
      <c r="C21" s="13" t="s">
        <v>39</v>
      </c>
      <c r="D21" s="21"/>
      <c r="E21" s="22"/>
      <c r="F21" s="22"/>
      <c r="G21" s="22"/>
      <c r="H21" s="22"/>
      <c r="I21" s="23"/>
      <c r="J21" s="21"/>
      <c r="K21" s="22"/>
      <c r="L21" s="22"/>
      <c r="M21" s="22"/>
      <c r="N21" s="22"/>
      <c r="O21" s="23"/>
      <c r="P21" s="21">
        <v>0</v>
      </c>
      <c r="Q21" s="22">
        <v>0</v>
      </c>
      <c r="R21" s="22">
        <v>0</v>
      </c>
      <c r="S21" s="22">
        <v>0</v>
      </c>
      <c r="T21" s="22">
        <v>0</v>
      </c>
      <c r="U21" s="23">
        <v>0</v>
      </c>
    </row>
    <row r="22" spans="1:21" ht="16.5" x14ac:dyDescent="0.2">
      <c r="A22" s="11" t="s">
        <v>32</v>
      </c>
      <c r="B22" s="11" t="s">
        <v>30</v>
      </c>
      <c r="C22" s="14" t="s">
        <v>40</v>
      </c>
      <c r="D22" s="24">
        <v>0</v>
      </c>
      <c r="E22" s="25">
        <v>0</v>
      </c>
      <c r="F22" s="25">
        <v>0</v>
      </c>
      <c r="G22" s="25">
        <v>0</v>
      </c>
      <c r="H22" s="25">
        <v>0</v>
      </c>
      <c r="I22" s="26">
        <v>0</v>
      </c>
      <c r="J22" s="24"/>
      <c r="K22" s="25"/>
      <c r="L22" s="25"/>
      <c r="M22" s="25"/>
      <c r="N22" s="25"/>
      <c r="O22" s="26"/>
      <c r="P22" s="24"/>
      <c r="Q22" s="25"/>
      <c r="R22" s="25"/>
      <c r="S22" s="25"/>
      <c r="T22" s="25"/>
      <c r="U22" s="26"/>
    </row>
    <row r="23" spans="1:21" ht="16.5" x14ac:dyDescent="0.2">
      <c r="A23" s="9" t="s">
        <v>32</v>
      </c>
      <c r="B23" s="9" t="s">
        <v>31</v>
      </c>
      <c r="C23" s="12" t="s">
        <v>26</v>
      </c>
      <c r="D23" s="18"/>
      <c r="E23" s="19"/>
      <c r="F23" s="19"/>
      <c r="G23" s="19"/>
      <c r="H23" s="19"/>
      <c r="I23" s="20"/>
      <c r="J23" s="18"/>
      <c r="K23" s="19"/>
      <c r="L23" s="19"/>
      <c r="M23" s="19"/>
      <c r="N23" s="19"/>
      <c r="O23" s="20"/>
      <c r="P23" s="18">
        <v>0</v>
      </c>
      <c r="Q23" s="19">
        <v>0</v>
      </c>
      <c r="R23" s="19">
        <v>0</v>
      </c>
      <c r="S23" s="19">
        <v>0</v>
      </c>
      <c r="T23" s="19">
        <v>0</v>
      </c>
      <c r="U23" s="20">
        <v>0</v>
      </c>
    </row>
    <row r="24" spans="1:21" ht="16.5" x14ac:dyDescent="0.2">
      <c r="A24" s="10" t="s">
        <v>32</v>
      </c>
      <c r="B24" s="10" t="s">
        <v>31</v>
      </c>
      <c r="C24" s="13" t="s">
        <v>27</v>
      </c>
      <c r="D24" s="21"/>
      <c r="E24" s="22"/>
      <c r="F24" s="22"/>
      <c r="G24" s="22"/>
      <c r="H24" s="22"/>
      <c r="I24" s="23"/>
      <c r="J24" s="21">
        <v>0</v>
      </c>
      <c r="K24" s="22">
        <v>0</v>
      </c>
      <c r="L24" s="22">
        <v>0</v>
      </c>
      <c r="M24" s="22">
        <v>0</v>
      </c>
      <c r="N24" s="22">
        <v>0</v>
      </c>
      <c r="O24" s="23">
        <v>0</v>
      </c>
      <c r="P24" s="21"/>
      <c r="Q24" s="22"/>
      <c r="R24" s="22"/>
      <c r="S24" s="22"/>
      <c r="T24" s="22"/>
      <c r="U24" s="23"/>
    </row>
    <row r="25" spans="1:21" ht="16.5" x14ac:dyDescent="0.2">
      <c r="A25" s="10" t="s">
        <v>32</v>
      </c>
      <c r="B25" s="10" t="s">
        <v>31</v>
      </c>
      <c r="C25" s="13" t="s">
        <v>39</v>
      </c>
      <c r="D25" s="21"/>
      <c r="E25" s="22"/>
      <c r="F25" s="22"/>
      <c r="G25" s="22"/>
      <c r="H25" s="22"/>
      <c r="I25" s="23"/>
      <c r="J25" s="21"/>
      <c r="K25" s="22"/>
      <c r="L25" s="22"/>
      <c r="M25" s="22"/>
      <c r="N25" s="22"/>
      <c r="O25" s="23"/>
      <c r="P25" s="21">
        <v>0</v>
      </c>
      <c r="Q25" s="22">
        <v>0</v>
      </c>
      <c r="R25" s="22">
        <v>0</v>
      </c>
      <c r="S25" s="22">
        <v>0</v>
      </c>
      <c r="T25" s="22">
        <v>0</v>
      </c>
      <c r="U25" s="23">
        <v>0</v>
      </c>
    </row>
    <row r="26" spans="1:21" ht="17.25" thickBot="1" x14ac:dyDescent="0.25">
      <c r="A26" s="11" t="s">
        <v>32</v>
      </c>
      <c r="B26" s="11" t="s">
        <v>31</v>
      </c>
      <c r="C26" s="14" t="s">
        <v>40</v>
      </c>
      <c r="D26" s="27">
        <v>0</v>
      </c>
      <c r="E26" s="28">
        <v>0</v>
      </c>
      <c r="F26" s="28">
        <v>0</v>
      </c>
      <c r="G26" s="28">
        <v>0</v>
      </c>
      <c r="H26" s="28">
        <v>0</v>
      </c>
      <c r="I26" s="29">
        <v>0</v>
      </c>
      <c r="J26" s="27"/>
      <c r="K26" s="28"/>
      <c r="L26" s="28"/>
      <c r="M26" s="28"/>
      <c r="N26" s="28"/>
      <c r="O26" s="29"/>
      <c r="P26" s="27"/>
      <c r="Q26" s="28"/>
      <c r="R26" s="28"/>
      <c r="S26" s="28"/>
      <c r="T26" s="28"/>
      <c r="U26" s="29"/>
    </row>
  </sheetData>
  <mergeCells count="4">
    <mergeCell ref="A1:C2"/>
    <mergeCell ref="D1:I1"/>
    <mergeCell ref="J1:O1"/>
    <mergeCell ref="P1:U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55F68-63D0-40EA-ADC0-C65DE0CE9B78}">
  <dimension ref="A1:V42"/>
  <sheetViews>
    <sheetView tabSelected="1" topLeftCell="A19" workbookViewId="0">
      <selection activeCell="U30" sqref="U30"/>
    </sheetView>
  </sheetViews>
  <sheetFormatPr defaultRowHeight="14.25" x14ac:dyDescent="0.2"/>
  <cols>
    <col min="1" max="1" width="3.625" customWidth="1"/>
    <col min="2" max="2" width="6.25" customWidth="1"/>
    <col min="3" max="3" width="2.75" customWidth="1"/>
    <col min="4" max="9" width="4.5" customWidth="1"/>
    <col min="10" max="15" width="5.75" customWidth="1"/>
    <col min="16" max="21" width="4.875" customWidth="1"/>
  </cols>
  <sheetData>
    <row r="1" spans="1:22" ht="16.5" x14ac:dyDescent="0.2">
      <c r="A1" s="32"/>
      <c r="B1" s="32"/>
      <c r="C1" s="33"/>
      <c r="D1" s="34" t="s">
        <v>25</v>
      </c>
      <c r="E1" s="35"/>
      <c r="F1" s="35"/>
      <c r="G1" s="35"/>
      <c r="H1" s="35"/>
      <c r="I1" s="36"/>
      <c r="J1" s="34" t="s">
        <v>33</v>
      </c>
      <c r="K1" s="35"/>
      <c r="L1" s="35"/>
      <c r="M1" s="35"/>
      <c r="N1" s="35"/>
      <c r="O1" s="36"/>
      <c r="P1" s="34" t="s">
        <v>34</v>
      </c>
      <c r="Q1" s="35"/>
      <c r="R1" s="35"/>
      <c r="S1" s="35"/>
      <c r="T1" s="35"/>
      <c r="U1" s="36"/>
    </row>
    <row r="2" spans="1:22" ht="16.5" x14ac:dyDescent="0.2">
      <c r="A2" s="32"/>
      <c r="B2" s="32"/>
      <c r="C2" s="33"/>
      <c r="D2" s="16">
        <v>0</v>
      </c>
      <c r="E2" s="17">
        <v>1</v>
      </c>
      <c r="F2" s="17">
        <v>2</v>
      </c>
      <c r="G2" s="17">
        <v>3</v>
      </c>
      <c r="H2" s="8">
        <v>4</v>
      </c>
      <c r="I2" s="15">
        <v>5</v>
      </c>
      <c r="J2" s="16">
        <v>0</v>
      </c>
      <c r="K2" s="17">
        <v>1</v>
      </c>
      <c r="L2" s="17">
        <v>2</v>
      </c>
      <c r="M2" s="17">
        <v>3</v>
      </c>
      <c r="N2" s="8">
        <v>4</v>
      </c>
      <c r="O2" s="15">
        <v>5</v>
      </c>
      <c r="P2" s="16">
        <v>0</v>
      </c>
      <c r="Q2" s="17">
        <v>1</v>
      </c>
      <c r="R2" s="17">
        <v>2</v>
      </c>
      <c r="S2" s="17">
        <v>3</v>
      </c>
      <c r="T2" s="8">
        <v>4</v>
      </c>
      <c r="U2" s="15">
        <v>5</v>
      </c>
    </row>
    <row r="3" spans="1:22" ht="16.5" x14ac:dyDescent="0.2">
      <c r="A3" s="9" t="s">
        <v>28</v>
      </c>
      <c r="B3" s="9" t="s">
        <v>29</v>
      </c>
      <c r="C3" s="12" t="s">
        <v>26</v>
      </c>
      <c r="D3" s="18">
        <v>6014</v>
      </c>
      <c r="E3" s="22">
        <f t="shared" ref="E3:F5" si="0">$D3+E30</f>
        <v>6615</v>
      </c>
      <c r="F3" s="22">
        <f t="shared" si="0"/>
        <v>7217</v>
      </c>
      <c r="G3" s="22">
        <f t="shared" ref="G3:I5" si="1">$D3+G30</f>
        <v>7818</v>
      </c>
      <c r="H3" s="22">
        <f t="shared" si="1"/>
        <v>8420</v>
      </c>
      <c r="I3" s="22">
        <f t="shared" si="1"/>
        <v>9021</v>
      </c>
      <c r="J3" s="18">
        <v>49181</v>
      </c>
      <c r="K3" s="22">
        <f>$J3+K30</f>
        <v>54099</v>
      </c>
      <c r="L3" s="22">
        <f>$J3+L30</f>
        <v>59017</v>
      </c>
      <c r="M3" s="22">
        <f t="shared" ref="M3:O3" si="2">$J3+M30</f>
        <v>63935</v>
      </c>
      <c r="N3" s="22">
        <f t="shared" si="2"/>
        <v>68853</v>
      </c>
      <c r="O3" s="22">
        <f t="shared" si="2"/>
        <v>73771</v>
      </c>
      <c r="P3" s="18">
        <v>0</v>
      </c>
      <c r="Q3" s="19">
        <v>0</v>
      </c>
      <c r="R3" s="19">
        <v>0</v>
      </c>
      <c r="S3" s="19">
        <v>0</v>
      </c>
      <c r="T3" s="19">
        <v>0</v>
      </c>
      <c r="U3" s="20">
        <v>0</v>
      </c>
    </row>
    <row r="4" spans="1:22" ht="16.5" x14ac:dyDescent="0.2">
      <c r="A4" s="10" t="s">
        <v>28</v>
      </c>
      <c r="B4" s="10" t="s">
        <v>29</v>
      </c>
      <c r="C4" s="13" t="s">
        <v>27</v>
      </c>
      <c r="D4" s="21">
        <v>3827</v>
      </c>
      <c r="E4" s="22">
        <f t="shared" si="0"/>
        <v>4210</v>
      </c>
      <c r="F4" s="22">
        <f t="shared" si="0"/>
        <v>4592</v>
      </c>
      <c r="G4" s="22">
        <f t="shared" si="1"/>
        <v>4975</v>
      </c>
      <c r="H4" s="22">
        <f t="shared" si="1"/>
        <v>5358</v>
      </c>
      <c r="I4" s="22">
        <f t="shared" si="1"/>
        <v>5741</v>
      </c>
      <c r="J4" s="21">
        <v>0</v>
      </c>
      <c r="K4" s="22">
        <v>0</v>
      </c>
      <c r="L4" s="22">
        <v>0</v>
      </c>
      <c r="M4" s="22">
        <v>0</v>
      </c>
      <c r="N4" s="22">
        <v>0</v>
      </c>
      <c r="O4" s="23">
        <v>0</v>
      </c>
      <c r="P4" s="21">
        <v>654</v>
      </c>
      <c r="Q4" s="22">
        <f>$P4+Q31</f>
        <v>719</v>
      </c>
      <c r="R4" s="22">
        <f>$P4+R31</f>
        <v>785</v>
      </c>
      <c r="S4" s="22">
        <f t="shared" ref="S4:U4" si="3">$P4+S31</f>
        <v>850</v>
      </c>
      <c r="T4" s="22">
        <f t="shared" si="3"/>
        <v>916</v>
      </c>
      <c r="U4" s="23">
        <f t="shared" si="3"/>
        <v>981</v>
      </c>
    </row>
    <row r="5" spans="1:22" ht="16.5" x14ac:dyDescent="0.2">
      <c r="A5" s="10" t="s">
        <v>28</v>
      </c>
      <c r="B5" s="10" t="s">
        <v>29</v>
      </c>
      <c r="C5" s="13" t="s">
        <v>39</v>
      </c>
      <c r="D5" s="21">
        <v>1093</v>
      </c>
      <c r="E5" s="22">
        <f t="shared" si="0"/>
        <v>1202</v>
      </c>
      <c r="F5" s="22">
        <f t="shared" si="0"/>
        <v>1312</v>
      </c>
      <c r="G5" s="22">
        <f t="shared" si="1"/>
        <v>1421</v>
      </c>
      <c r="H5" s="22">
        <f t="shared" si="1"/>
        <v>1530</v>
      </c>
      <c r="I5" s="22">
        <f t="shared" si="1"/>
        <v>1639</v>
      </c>
      <c r="J5" s="21">
        <v>159840</v>
      </c>
      <c r="K5" s="22">
        <f>$J5+K32</f>
        <v>175824</v>
      </c>
      <c r="L5" s="22">
        <f>$J5+L32</f>
        <v>191808</v>
      </c>
      <c r="M5" s="22">
        <v>207792</v>
      </c>
      <c r="N5" s="22">
        <f>$J5+N32</f>
        <v>223776</v>
      </c>
      <c r="O5" s="23">
        <v>239760</v>
      </c>
      <c r="P5" s="21">
        <v>0</v>
      </c>
      <c r="Q5" s="22">
        <v>0</v>
      </c>
      <c r="R5" s="22">
        <v>0</v>
      </c>
      <c r="S5" s="22">
        <v>0</v>
      </c>
      <c r="T5" s="22">
        <v>0</v>
      </c>
      <c r="U5" s="23">
        <v>0</v>
      </c>
    </row>
    <row r="6" spans="1:22" ht="16.5" x14ac:dyDescent="0.2">
      <c r="A6" s="11" t="s">
        <v>28</v>
      </c>
      <c r="B6" s="11" t="s">
        <v>29</v>
      </c>
      <c r="C6" s="14" t="s">
        <v>40</v>
      </c>
      <c r="D6" s="24">
        <v>0</v>
      </c>
      <c r="E6" s="25">
        <v>0</v>
      </c>
      <c r="F6" s="25">
        <v>0</v>
      </c>
      <c r="G6" s="25">
        <v>0</v>
      </c>
      <c r="H6" s="25">
        <v>0</v>
      </c>
      <c r="I6" s="26">
        <v>0</v>
      </c>
      <c r="J6" s="24">
        <v>36887</v>
      </c>
      <c r="K6" s="22">
        <f>$J6+K33</f>
        <v>40576</v>
      </c>
      <c r="L6" s="22">
        <f>$J6+L33</f>
        <v>44264</v>
      </c>
      <c r="M6" s="22">
        <f t="shared" ref="M6:N6" si="4">$J6+M33</f>
        <v>47953</v>
      </c>
      <c r="N6" s="22">
        <f t="shared" si="4"/>
        <v>51642</v>
      </c>
      <c r="O6" s="22">
        <f>$J6+O33</f>
        <v>55331</v>
      </c>
      <c r="P6" s="24">
        <v>981</v>
      </c>
      <c r="Q6" s="22">
        <f>$P6+Q33</f>
        <v>1079</v>
      </c>
      <c r="R6" s="22">
        <f>$P6+R33</f>
        <v>1177</v>
      </c>
      <c r="S6" s="22">
        <f t="shared" ref="S6:U6" si="5">$P6+S33</f>
        <v>1275</v>
      </c>
      <c r="T6" s="22">
        <f t="shared" si="5"/>
        <v>1373</v>
      </c>
      <c r="U6" s="23">
        <f t="shared" si="5"/>
        <v>1471</v>
      </c>
    </row>
    <row r="7" spans="1:22" ht="16.5" x14ac:dyDescent="0.2">
      <c r="A7" s="9" t="s">
        <v>28</v>
      </c>
      <c r="B7" s="9" t="s">
        <v>30</v>
      </c>
      <c r="C7" s="12" t="s">
        <v>26</v>
      </c>
      <c r="D7" s="18">
        <v>5012</v>
      </c>
      <c r="E7" s="22">
        <f t="shared" ref="E7:F9" si="6">$D7+E34</f>
        <v>5513</v>
      </c>
      <c r="F7" s="22">
        <f t="shared" si="6"/>
        <v>6014</v>
      </c>
      <c r="G7" s="22">
        <f t="shared" ref="G7:I9" si="7">$D7+G34</f>
        <v>6516</v>
      </c>
      <c r="H7" s="22">
        <f t="shared" si="7"/>
        <v>7017</v>
      </c>
      <c r="I7" s="22">
        <f t="shared" si="7"/>
        <v>7518</v>
      </c>
      <c r="J7" s="18">
        <v>54646</v>
      </c>
      <c r="K7" s="22">
        <f>$J7+K34</f>
        <v>60111</v>
      </c>
      <c r="L7" s="22">
        <f t="shared" ref="L7:O10" si="8">$J7+L34</f>
        <v>65575</v>
      </c>
      <c r="M7" s="22">
        <f t="shared" si="8"/>
        <v>71040</v>
      </c>
      <c r="N7" s="22">
        <f t="shared" si="8"/>
        <v>76504</v>
      </c>
      <c r="O7" s="22">
        <f t="shared" si="8"/>
        <v>81969</v>
      </c>
      <c r="P7" s="18">
        <v>0</v>
      </c>
      <c r="Q7" s="19">
        <v>0</v>
      </c>
      <c r="R7" s="19">
        <v>0</v>
      </c>
      <c r="S7" s="19">
        <v>0</v>
      </c>
      <c r="T7" s="19">
        <v>0</v>
      </c>
      <c r="U7" s="20">
        <v>0</v>
      </c>
    </row>
    <row r="8" spans="1:22" ht="16.5" x14ac:dyDescent="0.2">
      <c r="A8" s="10" t="s">
        <v>28</v>
      </c>
      <c r="B8" s="10" t="s">
        <v>30</v>
      </c>
      <c r="C8" s="13" t="s">
        <v>27</v>
      </c>
      <c r="D8" s="21">
        <v>3189</v>
      </c>
      <c r="E8" s="22">
        <f t="shared" si="6"/>
        <v>3508</v>
      </c>
      <c r="F8" s="22">
        <f t="shared" si="6"/>
        <v>3827</v>
      </c>
      <c r="G8" s="22">
        <f t="shared" si="7"/>
        <v>4146</v>
      </c>
      <c r="H8" s="22">
        <f t="shared" si="7"/>
        <v>4465</v>
      </c>
      <c r="I8" s="22">
        <f t="shared" si="7"/>
        <v>4783</v>
      </c>
      <c r="J8" s="21">
        <v>0</v>
      </c>
      <c r="K8" s="22">
        <v>0</v>
      </c>
      <c r="L8" s="22">
        <v>0</v>
      </c>
      <c r="M8" s="22">
        <v>0</v>
      </c>
      <c r="N8" s="22">
        <v>0</v>
      </c>
      <c r="O8" s="23">
        <v>0</v>
      </c>
      <c r="P8" s="21">
        <v>727</v>
      </c>
      <c r="Q8" s="22">
        <f>$P8+Q35</f>
        <v>800</v>
      </c>
      <c r="R8" s="22">
        <f t="shared" ref="R8:U8" si="9">$P8+R35</f>
        <v>872</v>
      </c>
      <c r="S8" s="22">
        <f t="shared" si="9"/>
        <v>945</v>
      </c>
      <c r="T8" s="22">
        <f t="shared" si="9"/>
        <v>1018</v>
      </c>
      <c r="U8" s="23">
        <f t="shared" si="9"/>
        <v>1091</v>
      </c>
    </row>
    <row r="9" spans="1:22" ht="16.5" x14ac:dyDescent="0.2">
      <c r="A9" s="10" t="s">
        <v>28</v>
      </c>
      <c r="B9" s="10" t="s">
        <v>30</v>
      </c>
      <c r="C9" s="13" t="s">
        <v>39</v>
      </c>
      <c r="D9" s="21">
        <v>911</v>
      </c>
      <c r="E9" s="22">
        <f t="shared" si="6"/>
        <v>1002</v>
      </c>
      <c r="F9" s="22">
        <f t="shared" si="6"/>
        <v>1093</v>
      </c>
      <c r="G9" s="22">
        <f t="shared" si="7"/>
        <v>1184</v>
      </c>
      <c r="H9" s="22">
        <f t="shared" si="7"/>
        <v>1275</v>
      </c>
      <c r="I9" s="22">
        <f t="shared" si="7"/>
        <v>1367</v>
      </c>
      <c r="J9" s="21">
        <v>177600</v>
      </c>
      <c r="K9" s="22">
        <f>$J9+K36</f>
        <v>195360</v>
      </c>
      <c r="L9" s="22">
        <f t="shared" si="8"/>
        <v>213120</v>
      </c>
      <c r="M9" s="22">
        <f t="shared" si="8"/>
        <v>230880</v>
      </c>
      <c r="N9" s="22">
        <f t="shared" si="8"/>
        <v>248640</v>
      </c>
      <c r="O9" s="22">
        <f t="shared" si="8"/>
        <v>266400</v>
      </c>
      <c r="P9" s="21">
        <v>0</v>
      </c>
      <c r="Q9" s="22">
        <v>0</v>
      </c>
      <c r="R9" s="22">
        <v>0</v>
      </c>
      <c r="S9" s="22">
        <v>0</v>
      </c>
      <c r="T9" s="22">
        <v>0</v>
      </c>
      <c r="U9" s="23">
        <v>0</v>
      </c>
    </row>
    <row r="10" spans="1:22" ht="16.5" x14ac:dyDescent="0.2">
      <c r="A10" s="11" t="s">
        <v>28</v>
      </c>
      <c r="B10" s="11" t="s">
        <v>30</v>
      </c>
      <c r="C10" s="14" t="s">
        <v>40</v>
      </c>
      <c r="D10" s="24">
        <v>0</v>
      </c>
      <c r="E10" s="25">
        <v>0</v>
      </c>
      <c r="F10" s="25">
        <v>0</v>
      </c>
      <c r="G10" s="25">
        <v>0</v>
      </c>
      <c r="H10" s="25">
        <v>0</v>
      </c>
      <c r="I10" s="26">
        <v>0</v>
      </c>
      <c r="J10" s="24">
        <v>40985</v>
      </c>
      <c r="K10" s="22">
        <f>$J10+K37</f>
        <v>45083</v>
      </c>
      <c r="L10" s="22">
        <f t="shared" si="8"/>
        <v>49182</v>
      </c>
      <c r="M10" s="22">
        <f t="shared" si="8"/>
        <v>53281</v>
      </c>
      <c r="N10" s="22">
        <f t="shared" si="8"/>
        <v>57379</v>
      </c>
      <c r="O10" s="22">
        <f t="shared" si="8"/>
        <v>61477</v>
      </c>
      <c r="P10" s="24">
        <v>1090</v>
      </c>
      <c r="Q10" s="22">
        <f>$P10+Q37</f>
        <v>1199</v>
      </c>
      <c r="R10" s="22">
        <f t="shared" ref="R10:U10" si="10">$P10+R37</f>
        <v>1308</v>
      </c>
      <c r="S10" s="22">
        <f t="shared" si="10"/>
        <v>1417</v>
      </c>
      <c r="T10" s="22">
        <f t="shared" si="10"/>
        <v>1526</v>
      </c>
      <c r="U10" s="23">
        <f t="shared" si="10"/>
        <v>1635</v>
      </c>
      <c r="V10" s="31"/>
    </row>
    <row r="11" spans="1:22" ht="16.5" x14ac:dyDescent="0.2">
      <c r="A11" s="9" t="s">
        <v>37</v>
      </c>
      <c r="B11" s="9" t="s">
        <v>31</v>
      </c>
      <c r="C11" s="12" t="s">
        <v>26</v>
      </c>
      <c r="D11" s="18">
        <v>4010</v>
      </c>
      <c r="E11" s="19">
        <f>$D11+E38</f>
        <v>4411</v>
      </c>
      <c r="F11" s="19">
        <f t="shared" ref="F11:I11" si="11">$D11+F38</f>
        <v>4812</v>
      </c>
      <c r="G11" s="19">
        <f t="shared" si="11"/>
        <v>5213</v>
      </c>
      <c r="H11" s="19">
        <f t="shared" si="11"/>
        <v>5614</v>
      </c>
      <c r="I11" s="19">
        <f t="shared" si="11"/>
        <v>6015</v>
      </c>
      <c r="J11" s="18">
        <v>60111</v>
      </c>
      <c r="K11" s="19">
        <f>$J11+K38</f>
        <v>66122</v>
      </c>
      <c r="L11" s="19">
        <f>$J11+L38</f>
        <v>72133</v>
      </c>
      <c r="M11" s="19">
        <f t="shared" ref="M11:O11" si="12">$J11+M38</f>
        <v>78144</v>
      </c>
      <c r="N11" s="19">
        <f t="shared" si="12"/>
        <v>84155</v>
      </c>
      <c r="O11" s="19">
        <f t="shared" si="12"/>
        <v>90167</v>
      </c>
      <c r="P11" s="18">
        <v>0</v>
      </c>
      <c r="Q11" s="19">
        <v>0</v>
      </c>
      <c r="R11" s="19">
        <v>0</v>
      </c>
      <c r="S11" s="19">
        <v>0</v>
      </c>
      <c r="T11" s="19">
        <v>0</v>
      </c>
      <c r="U11" s="20">
        <v>0</v>
      </c>
    </row>
    <row r="12" spans="1:22" ht="16.5" x14ac:dyDescent="0.2">
      <c r="A12" s="10" t="s">
        <v>37</v>
      </c>
      <c r="B12" s="10" t="s">
        <v>31</v>
      </c>
      <c r="C12" s="13" t="s">
        <v>27</v>
      </c>
      <c r="D12" s="21">
        <v>2551</v>
      </c>
      <c r="E12" s="22">
        <f>$D12+E39</f>
        <v>2806</v>
      </c>
      <c r="F12" s="22">
        <f>$D12+F39</f>
        <v>3061</v>
      </c>
      <c r="G12" s="22">
        <f t="shared" ref="G12:I12" si="13">$D12+G39</f>
        <v>3316</v>
      </c>
      <c r="H12" s="22">
        <f t="shared" si="13"/>
        <v>3571</v>
      </c>
      <c r="I12" s="22">
        <f t="shared" si="13"/>
        <v>3827</v>
      </c>
      <c r="J12" s="21">
        <v>0</v>
      </c>
      <c r="K12" s="22">
        <v>0</v>
      </c>
      <c r="L12" s="22">
        <v>0</v>
      </c>
      <c r="M12" s="22">
        <v>0</v>
      </c>
      <c r="N12" s="22">
        <v>0</v>
      </c>
      <c r="O12" s="23">
        <v>0</v>
      </c>
      <c r="P12" s="21">
        <v>800</v>
      </c>
      <c r="Q12" s="22">
        <f>$P12+Q39</f>
        <v>880</v>
      </c>
      <c r="R12" s="22">
        <f>$P12+R39</f>
        <v>960</v>
      </c>
      <c r="S12" s="22">
        <f>$P12+S39</f>
        <v>1040</v>
      </c>
      <c r="T12" s="22">
        <f>$P12+T39</f>
        <v>1120</v>
      </c>
      <c r="U12" s="23">
        <f>$P12+U39</f>
        <v>1200</v>
      </c>
    </row>
    <row r="13" spans="1:22" ht="16.5" x14ac:dyDescent="0.2">
      <c r="A13" s="10" t="s">
        <v>37</v>
      </c>
      <c r="B13" s="10" t="s">
        <v>31</v>
      </c>
      <c r="C13" s="13" t="s">
        <v>39</v>
      </c>
      <c r="D13" s="21">
        <v>729</v>
      </c>
      <c r="E13" s="22">
        <f>$D13+E40</f>
        <v>802</v>
      </c>
      <c r="F13" s="22">
        <f t="shared" ref="F13:I13" si="14">$D13+F40</f>
        <v>875</v>
      </c>
      <c r="G13" s="22">
        <f t="shared" si="14"/>
        <v>948</v>
      </c>
      <c r="H13" s="22">
        <f t="shared" si="14"/>
        <v>1021</v>
      </c>
      <c r="I13" s="22">
        <f t="shared" si="14"/>
        <v>1093</v>
      </c>
      <c r="J13" s="21">
        <v>195360</v>
      </c>
      <c r="K13" s="25">
        <f>$J13+K40</f>
        <v>214896</v>
      </c>
      <c r="L13" s="25">
        <f>$J13+L40</f>
        <v>234432</v>
      </c>
      <c r="M13" s="25">
        <f t="shared" ref="M13:O14" si="15">$J13+M40</f>
        <v>253968</v>
      </c>
      <c r="N13" s="25">
        <f t="shared" si="15"/>
        <v>273504</v>
      </c>
      <c r="O13" s="25">
        <f t="shared" si="15"/>
        <v>293040</v>
      </c>
      <c r="P13" s="21">
        <v>0</v>
      </c>
      <c r="Q13" s="22">
        <v>0</v>
      </c>
      <c r="R13" s="22">
        <v>0</v>
      </c>
      <c r="S13" s="22">
        <v>0</v>
      </c>
      <c r="T13" s="22">
        <v>0</v>
      </c>
      <c r="U13" s="23">
        <v>0</v>
      </c>
    </row>
    <row r="14" spans="1:22" ht="16.5" x14ac:dyDescent="0.2">
      <c r="A14" s="11" t="s">
        <v>37</v>
      </c>
      <c r="B14" s="11" t="s">
        <v>31</v>
      </c>
      <c r="C14" s="14" t="s">
        <v>40</v>
      </c>
      <c r="D14" s="24">
        <v>0</v>
      </c>
      <c r="E14" s="25">
        <v>0</v>
      </c>
      <c r="F14" s="25">
        <v>0</v>
      </c>
      <c r="G14" s="25">
        <v>0</v>
      </c>
      <c r="H14" s="25">
        <v>0</v>
      </c>
      <c r="I14" s="26">
        <v>0</v>
      </c>
      <c r="J14" s="24">
        <v>45084</v>
      </c>
      <c r="K14" s="25">
        <f>$J14+K41</f>
        <v>49592</v>
      </c>
      <c r="L14" s="25">
        <f>$J14+L41</f>
        <v>54101</v>
      </c>
      <c r="M14" s="25">
        <f t="shared" si="15"/>
        <v>58609</v>
      </c>
      <c r="N14" s="25">
        <f t="shared" si="15"/>
        <v>63118</v>
      </c>
      <c r="O14" s="25">
        <f t="shared" si="15"/>
        <v>67626</v>
      </c>
      <c r="P14" s="24">
        <v>1199</v>
      </c>
      <c r="Q14" s="25">
        <f>$P14+Q41</f>
        <v>1319</v>
      </c>
      <c r="R14" s="25">
        <f>$P14+R41</f>
        <v>1439</v>
      </c>
      <c r="S14" s="25">
        <f>$P14+S41</f>
        <v>1559</v>
      </c>
      <c r="T14" s="25">
        <f>$P14+T41</f>
        <v>1679</v>
      </c>
      <c r="U14" s="26">
        <f>$P14+U41</f>
        <v>1799</v>
      </c>
    </row>
    <row r="15" spans="1:22" ht="16.5" x14ac:dyDescent="0.2">
      <c r="A15" s="9" t="s">
        <v>32</v>
      </c>
      <c r="B15" s="9" t="s">
        <v>29</v>
      </c>
      <c r="C15" s="12" t="s">
        <v>26</v>
      </c>
      <c r="D15" s="18"/>
      <c r="E15" s="19"/>
      <c r="F15" s="19"/>
      <c r="G15" s="19"/>
      <c r="H15" s="19"/>
      <c r="I15" s="20"/>
      <c r="J15" s="18"/>
      <c r="K15" s="19"/>
      <c r="L15" s="19"/>
      <c r="M15" s="19"/>
      <c r="N15" s="19"/>
      <c r="O15" s="20"/>
      <c r="P15" s="18">
        <v>0</v>
      </c>
      <c r="Q15" s="19">
        <v>0</v>
      </c>
      <c r="R15" s="19">
        <v>0</v>
      </c>
      <c r="S15" s="19">
        <v>0</v>
      </c>
      <c r="T15" s="19">
        <v>0</v>
      </c>
      <c r="U15" s="20">
        <v>0</v>
      </c>
    </row>
    <row r="16" spans="1:22" ht="16.5" x14ac:dyDescent="0.2">
      <c r="A16" s="10" t="s">
        <v>32</v>
      </c>
      <c r="B16" s="10" t="s">
        <v>29</v>
      </c>
      <c r="C16" s="13" t="s">
        <v>27</v>
      </c>
      <c r="D16" s="21"/>
      <c r="E16" s="22"/>
      <c r="F16" s="22"/>
      <c r="G16" s="22"/>
      <c r="H16" s="22"/>
      <c r="I16" s="23"/>
      <c r="J16" s="21">
        <v>0</v>
      </c>
      <c r="K16" s="22">
        <v>0</v>
      </c>
      <c r="L16" s="22">
        <v>0</v>
      </c>
      <c r="M16" s="22">
        <v>0</v>
      </c>
      <c r="N16" s="22">
        <v>0</v>
      </c>
      <c r="O16" s="23">
        <v>0</v>
      </c>
      <c r="P16" s="21"/>
      <c r="Q16" s="22"/>
      <c r="R16" s="22"/>
      <c r="S16" s="22"/>
      <c r="T16" s="22"/>
      <c r="U16" s="23"/>
    </row>
    <row r="17" spans="1:21" ht="16.5" x14ac:dyDescent="0.2">
      <c r="A17" s="10" t="s">
        <v>32</v>
      </c>
      <c r="B17" s="10" t="s">
        <v>29</v>
      </c>
      <c r="C17" s="13" t="s">
        <v>39</v>
      </c>
      <c r="D17" s="21"/>
      <c r="E17" s="22"/>
      <c r="F17" s="22"/>
      <c r="G17" s="22"/>
      <c r="H17" s="22"/>
      <c r="I17" s="23"/>
      <c r="J17" s="21"/>
      <c r="K17" s="22"/>
      <c r="L17" s="22"/>
      <c r="M17" s="22"/>
      <c r="N17" s="22"/>
      <c r="O17" s="23"/>
      <c r="P17" s="21">
        <v>0</v>
      </c>
      <c r="Q17" s="22">
        <v>0</v>
      </c>
      <c r="R17" s="22">
        <v>0</v>
      </c>
      <c r="S17" s="22">
        <v>0</v>
      </c>
      <c r="T17" s="22">
        <v>0</v>
      </c>
      <c r="U17" s="23">
        <v>0</v>
      </c>
    </row>
    <row r="18" spans="1:21" ht="16.5" x14ac:dyDescent="0.2">
      <c r="A18" s="11" t="s">
        <v>32</v>
      </c>
      <c r="B18" s="11" t="s">
        <v>29</v>
      </c>
      <c r="C18" s="14" t="s">
        <v>40</v>
      </c>
      <c r="D18" s="24">
        <v>0</v>
      </c>
      <c r="E18" s="25">
        <v>0</v>
      </c>
      <c r="F18" s="25">
        <v>0</v>
      </c>
      <c r="G18" s="25">
        <v>0</v>
      </c>
      <c r="H18" s="25">
        <v>0</v>
      </c>
      <c r="I18" s="26">
        <v>0</v>
      </c>
      <c r="J18" s="24"/>
      <c r="K18" s="25"/>
      <c r="L18" s="25"/>
      <c r="M18" s="25"/>
      <c r="N18" s="25"/>
      <c r="O18" s="26"/>
      <c r="P18" s="24"/>
      <c r="Q18" s="25"/>
      <c r="R18" s="25"/>
      <c r="S18" s="25"/>
      <c r="T18" s="25"/>
      <c r="U18" s="26"/>
    </row>
    <row r="19" spans="1:21" ht="16.5" x14ac:dyDescent="0.2">
      <c r="A19" s="9" t="s">
        <v>32</v>
      </c>
      <c r="B19" s="9" t="s">
        <v>30</v>
      </c>
      <c r="C19" s="12" t="s">
        <v>26</v>
      </c>
      <c r="D19" s="18"/>
      <c r="E19" s="19"/>
      <c r="F19" s="19"/>
      <c r="G19" s="19"/>
      <c r="H19" s="19"/>
      <c r="I19" s="20"/>
      <c r="J19" s="18"/>
      <c r="K19" s="19"/>
      <c r="L19" s="19"/>
      <c r="M19" s="19"/>
      <c r="N19" s="19"/>
      <c r="O19" s="20"/>
      <c r="P19" s="18">
        <v>0</v>
      </c>
      <c r="Q19" s="19">
        <v>0</v>
      </c>
      <c r="R19" s="19">
        <v>0</v>
      </c>
      <c r="S19" s="19">
        <v>0</v>
      </c>
      <c r="T19" s="19">
        <v>0</v>
      </c>
      <c r="U19" s="20">
        <v>0</v>
      </c>
    </row>
    <row r="20" spans="1:21" ht="16.5" x14ac:dyDescent="0.2">
      <c r="A20" s="10" t="s">
        <v>32</v>
      </c>
      <c r="B20" s="10" t="s">
        <v>30</v>
      </c>
      <c r="C20" s="13" t="s">
        <v>27</v>
      </c>
      <c r="D20" s="21"/>
      <c r="E20" s="22"/>
      <c r="F20" s="22"/>
      <c r="G20" s="22"/>
      <c r="H20" s="22"/>
      <c r="I20" s="23"/>
      <c r="J20" s="21">
        <v>0</v>
      </c>
      <c r="K20" s="22">
        <v>0</v>
      </c>
      <c r="L20" s="22">
        <v>0</v>
      </c>
      <c r="M20" s="22">
        <v>0</v>
      </c>
      <c r="N20" s="22">
        <v>0</v>
      </c>
      <c r="O20" s="23">
        <v>0</v>
      </c>
      <c r="P20" s="21"/>
      <c r="Q20" s="22"/>
      <c r="R20" s="22"/>
      <c r="S20" s="22"/>
      <c r="T20" s="22"/>
      <c r="U20" s="23"/>
    </row>
    <row r="21" spans="1:21" ht="16.5" x14ac:dyDescent="0.2">
      <c r="A21" s="10" t="s">
        <v>32</v>
      </c>
      <c r="B21" s="10" t="s">
        <v>30</v>
      </c>
      <c r="C21" s="13" t="s">
        <v>39</v>
      </c>
      <c r="D21" s="21"/>
      <c r="E21" s="22"/>
      <c r="F21" s="22"/>
      <c r="G21" s="22"/>
      <c r="H21" s="22"/>
      <c r="I21" s="23"/>
      <c r="J21" s="21"/>
      <c r="K21" s="22"/>
      <c r="L21" s="22"/>
      <c r="M21" s="22"/>
      <c r="N21" s="22"/>
      <c r="O21" s="23"/>
      <c r="P21" s="21">
        <v>0</v>
      </c>
      <c r="Q21" s="22">
        <v>0</v>
      </c>
      <c r="R21" s="22">
        <v>0</v>
      </c>
      <c r="S21" s="22">
        <v>0</v>
      </c>
      <c r="T21" s="22">
        <v>0</v>
      </c>
      <c r="U21" s="23">
        <v>0</v>
      </c>
    </row>
    <row r="22" spans="1:21" ht="16.5" x14ac:dyDescent="0.2">
      <c r="A22" s="11" t="s">
        <v>32</v>
      </c>
      <c r="B22" s="11" t="s">
        <v>30</v>
      </c>
      <c r="C22" s="14" t="s">
        <v>40</v>
      </c>
      <c r="D22" s="24">
        <v>0</v>
      </c>
      <c r="E22" s="25">
        <v>0</v>
      </c>
      <c r="F22" s="25">
        <v>0</v>
      </c>
      <c r="G22" s="25">
        <v>0</v>
      </c>
      <c r="H22" s="25">
        <v>0</v>
      </c>
      <c r="I22" s="26">
        <v>0</v>
      </c>
      <c r="J22" s="24"/>
      <c r="K22" s="25"/>
      <c r="L22" s="25"/>
      <c r="M22" s="25"/>
      <c r="N22" s="25"/>
      <c r="O22" s="26"/>
      <c r="P22" s="24"/>
      <c r="Q22" s="25"/>
      <c r="R22" s="25"/>
      <c r="S22" s="25"/>
      <c r="T22" s="25"/>
      <c r="U22" s="26"/>
    </row>
    <row r="23" spans="1:21" ht="16.5" x14ac:dyDescent="0.2">
      <c r="A23" s="9" t="s">
        <v>32</v>
      </c>
      <c r="B23" s="9" t="s">
        <v>31</v>
      </c>
      <c r="C23" s="12" t="s">
        <v>26</v>
      </c>
      <c r="D23" s="18"/>
      <c r="E23" s="19"/>
      <c r="F23" s="19"/>
      <c r="G23" s="19"/>
      <c r="H23" s="19"/>
      <c r="I23" s="20"/>
      <c r="J23" s="18"/>
      <c r="K23" s="19"/>
      <c r="L23" s="19"/>
      <c r="M23" s="19"/>
      <c r="N23" s="19"/>
      <c r="O23" s="20"/>
      <c r="P23" s="18">
        <v>0</v>
      </c>
      <c r="Q23" s="19">
        <v>0</v>
      </c>
      <c r="R23" s="19">
        <v>0</v>
      </c>
      <c r="S23" s="19">
        <v>0</v>
      </c>
      <c r="T23" s="19">
        <v>0</v>
      </c>
      <c r="U23" s="20">
        <v>0</v>
      </c>
    </row>
    <row r="24" spans="1:21" ht="16.5" x14ac:dyDescent="0.2">
      <c r="A24" s="10" t="s">
        <v>32</v>
      </c>
      <c r="B24" s="10" t="s">
        <v>31</v>
      </c>
      <c r="C24" s="13" t="s">
        <v>27</v>
      </c>
      <c r="D24" s="21"/>
      <c r="E24" s="22"/>
      <c r="F24" s="22"/>
      <c r="G24" s="22"/>
      <c r="H24" s="22"/>
      <c r="I24" s="23"/>
      <c r="J24" s="21">
        <v>0</v>
      </c>
      <c r="K24" s="22">
        <v>0</v>
      </c>
      <c r="L24" s="22">
        <v>0</v>
      </c>
      <c r="M24" s="22">
        <v>0</v>
      </c>
      <c r="N24" s="22">
        <v>0</v>
      </c>
      <c r="O24" s="23">
        <v>0</v>
      </c>
      <c r="P24" s="21"/>
      <c r="Q24" s="22"/>
      <c r="R24" s="22"/>
      <c r="S24" s="22"/>
      <c r="T24" s="22"/>
      <c r="U24" s="23"/>
    </row>
    <row r="25" spans="1:21" ht="16.5" x14ac:dyDescent="0.2">
      <c r="A25" s="10" t="s">
        <v>32</v>
      </c>
      <c r="B25" s="10" t="s">
        <v>31</v>
      </c>
      <c r="C25" s="13" t="s">
        <v>39</v>
      </c>
      <c r="D25" s="21"/>
      <c r="E25" s="22"/>
      <c r="F25" s="22"/>
      <c r="G25" s="22"/>
      <c r="H25" s="22"/>
      <c r="I25" s="23"/>
      <c r="J25" s="21"/>
      <c r="K25" s="22"/>
      <c r="L25" s="22"/>
      <c r="M25" s="22"/>
      <c r="N25" s="22"/>
      <c r="O25" s="23"/>
      <c r="P25" s="21">
        <v>0</v>
      </c>
      <c r="Q25" s="22">
        <v>0</v>
      </c>
      <c r="R25" s="22">
        <v>0</v>
      </c>
      <c r="S25" s="22">
        <v>0</v>
      </c>
      <c r="T25" s="22">
        <v>0</v>
      </c>
      <c r="U25" s="23">
        <v>0</v>
      </c>
    </row>
    <row r="26" spans="1:21" ht="17.25" thickBot="1" x14ac:dyDescent="0.25">
      <c r="A26" s="11" t="s">
        <v>32</v>
      </c>
      <c r="B26" s="11" t="s">
        <v>31</v>
      </c>
      <c r="C26" s="14" t="s">
        <v>40</v>
      </c>
      <c r="D26" s="27">
        <v>0</v>
      </c>
      <c r="E26" s="28">
        <v>0</v>
      </c>
      <c r="F26" s="28">
        <v>0</v>
      </c>
      <c r="G26" s="28">
        <v>0</v>
      </c>
      <c r="H26" s="28">
        <v>0</v>
      </c>
      <c r="I26" s="29">
        <v>0</v>
      </c>
      <c r="J26" s="27"/>
      <c r="K26" s="28"/>
      <c r="L26" s="28"/>
      <c r="M26" s="28"/>
      <c r="N26" s="28"/>
      <c r="O26" s="29"/>
      <c r="P26" s="27"/>
      <c r="Q26" s="28"/>
      <c r="R26" s="28"/>
      <c r="S26" s="28"/>
      <c r="T26" s="28"/>
      <c r="U26" s="29"/>
    </row>
    <row r="27" spans="1:21" ht="15" thickBot="1" x14ac:dyDescent="0.25"/>
    <row r="28" spans="1:21" ht="16.5" x14ac:dyDescent="0.2">
      <c r="A28" s="32" t="s">
        <v>35</v>
      </c>
      <c r="B28" s="32"/>
      <c r="C28" s="33"/>
      <c r="D28" s="34" t="s">
        <v>25</v>
      </c>
      <c r="E28" s="35"/>
      <c r="F28" s="35"/>
      <c r="G28" s="35"/>
      <c r="H28" s="35"/>
      <c r="I28" s="36"/>
      <c r="J28" s="34" t="s">
        <v>33</v>
      </c>
      <c r="K28" s="35"/>
      <c r="L28" s="35"/>
      <c r="M28" s="35"/>
      <c r="N28" s="35"/>
      <c r="O28" s="36"/>
      <c r="P28" s="34" t="s">
        <v>34</v>
      </c>
      <c r="Q28" s="35"/>
      <c r="R28" s="35"/>
      <c r="S28" s="35"/>
      <c r="T28" s="35"/>
      <c r="U28" s="36"/>
    </row>
    <row r="29" spans="1:21" ht="16.5" x14ac:dyDescent="0.2">
      <c r="A29" s="32"/>
      <c r="B29" s="32"/>
      <c r="C29" s="33"/>
      <c r="D29" s="16">
        <v>0</v>
      </c>
      <c r="E29" s="17">
        <v>1</v>
      </c>
      <c r="F29" s="17">
        <v>2</v>
      </c>
      <c r="G29" s="17">
        <v>3</v>
      </c>
      <c r="H29" s="8">
        <v>4</v>
      </c>
      <c r="I29" s="15">
        <v>5</v>
      </c>
      <c r="J29" s="16">
        <v>0</v>
      </c>
      <c r="K29" s="17">
        <v>1</v>
      </c>
      <c r="L29" s="17">
        <v>2</v>
      </c>
      <c r="M29" s="17">
        <v>3</v>
      </c>
      <c r="N29" s="8">
        <v>4</v>
      </c>
      <c r="O29" s="15">
        <v>5</v>
      </c>
      <c r="P29" s="16">
        <v>0</v>
      </c>
      <c r="Q29" s="17">
        <v>1</v>
      </c>
      <c r="R29" s="17">
        <v>2</v>
      </c>
      <c r="S29" s="17">
        <v>3</v>
      </c>
      <c r="T29" s="8">
        <v>4</v>
      </c>
      <c r="U29" s="15">
        <v>5</v>
      </c>
    </row>
    <row r="30" spans="1:21" ht="16.5" x14ac:dyDescent="0.2">
      <c r="A30" s="9" t="s">
        <v>28</v>
      </c>
      <c r="B30" s="9" t="s">
        <v>29</v>
      </c>
      <c r="C30" s="12" t="s">
        <v>26</v>
      </c>
      <c r="D30" s="18" t="s">
        <v>36</v>
      </c>
      <c r="E30" s="19">
        <v>601</v>
      </c>
      <c r="F30" s="19">
        <v>1203</v>
      </c>
      <c r="G30" s="19">
        <v>1804</v>
      </c>
      <c r="H30" s="19">
        <v>2406</v>
      </c>
      <c r="I30" s="20">
        <v>3007</v>
      </c>
      <c r="J30" s="18" t="s">
        <v>36</v>
      </c>
      <c r="K30" s="19">
        <v>4918</v>
      </c>
      <c r="L30" s="19">
        <v>9836</v>
      </c>
      <c r="M30" s="19">
        <v>14754</v>
      </c>
      <c r="N30" s="19">
        <v>19672</v>
      </c>
      <c r="O30" s="20">
        <v>24590</v>
      </c>
      <c r="P30" s="18" t="s">
        <v>36</v>
      </c>
      <c r="Q30" s="19"/>
      <c r="R30" s="19"/>
      <c r="S30" s="19"/>
      <c r="T30" s="19"/>
      <c r="U30" s="20"/>
    </row>
    <row r="31" spans="1:21" ht="16.5" x14ac:dyDescent="0.2">
      <c r="A31" s="10" t="s">
        <v>28</v>
      </c>
      <c r="B31" s="10" t="s">
        <v>29</v>
      </c>
      <c r="C31" s="13" t="s">
        <v>27</v>
      </c>
      <c r="D31" s="21" t="s">
        <v>36</v>
      </c>
      <c r="E31" s="22">
        <v>383</v>
      </c>
      <c r="F31" s="22">
        <v>765</v>
      </c>
      <c r="G31" s="22">
        <v>1148</v>
      </c>
      <c r="H31" s="22">
        <v>1531</v>
      </c>
      <c r="I31" s="23">
        <v>1914</v>
      </c>
      <c r="J31" s="21" t="s">
        <v>36</v>
      </c>
      <c r="K31" s="22"/>
      <c r="L31" s="22"/>
      <c r="M31" s="22"/>
      <c r="N31" s="22"/>
      <c r="O31" s="23"/>
      <c r="P31" s="21" t="s">
        <v>36</v>
      </c>
      <c r="Q31" s="22">
        <v>65</v>
      </c>
      <c r="R31" s="22">
        <v>131</v>
      </c>
      <c r="S31" s="22">
        <v>196</v>
      </c>
      <c r="T31" s="22">
        <v>262</v>
      </c>
      <c r="U31" s="23">
        <v>327</v>
      </c>
    </row>
    <row r="32" spans="1:21" ht="16.5" x14ac:dyDescent="0.2">
      <c r="A32" s="10" t="s">
        <v>28</v>
      </c>
      <c r="B32" s="10" t="s">
        <v>29</v>
      </c>
      <c r="C32" s="13" t="s">
        <v>39</v>
      </c>
      <c r="D32" s="21" t="s">
        <v>36</v>
      </c>
      <c r="E32" s="22">
        <v>109</v>
      </c>
      <c r="F32" s="22">
        <v>219</v>
      </c>
      <c r="G32" s="22">
        <v>328</v>
      </c>
      <c r="H32" s="22">
        <v>437</v>
      </c>
      <c r="I32" s="23">
        <v>546</v>
      </c>
      <c r="J32" s="21" t="s">
        <v>36</v>
      </c>
      <c r="K32" s="22">
        <v>15984</v>
      </c>
      <c r="L32" s="22">
        <v>31968</v>
      </c>
      <c r="M32" s="22">
        <v>47952</v>
      </c>
      <c r="N32" s="22">
        <v>63936</v>
      </c>
      <c r="O32" s="23">
        <v>79920</v>
      </c>
      <c r="P32" s="21" t="s">
        <v>36</v>
      </c>
      <c r="Q32" s="22"/>
      <c r="R32" s="22"/>
      <c r="S32" s="22"/>
      <c r="T32" s="22"/>
      <c r="U32" s="23"/>
    </row>
    <row r="33" spans="1:21" ht="16.5" x14ac:dyDescent="0.2">
      <c r="A33" s="11" t="s">
        <v>28</v>
      </c>
      <c r="B33" s="11" t="s">
        <v>29</v>
      </c>
      <c r="C33" s="14" t="s">
        <v>40</v>
      </c>
      <c r="D33" s="24" t="s">
        <v>36</v>
      </c>
      <c r="E33" s="25"/>
      <c r="F33" s="25"/>
      <c r="G33" s="25"/>
      <c r="H33" s="25"/>
      <c r="I33" s="26"/>
      <c r="J33" s="24" t="s">
        <v>36</v>
      </c>
      <c r="K33" s="25">
        <v>3689</v>
      </c>
      <c r="L33" s="25">
        <v>7377</v>
      </c>
      <c r="M33" s="25">
        <v>11066</v>
      </c>
      <c r="N33" s="25">
        <v>14755</v>
      </c>
      <c r="O33" s="26">
        <v>18444</v>
      </c>
      <c r="P33" s="24" t="s">
        <v>36</v>
      </c>
      <c r="Q33" s="25">
        <v>98</v>
      </c>
      <c r="R33" s="25">
        <v>196</v>
      </c>
      <c r="S33" s="25">
        <v>294</v>
      </c>
      <c r="T33" s="25">
        <v>392</v>
      </c>
      <c r="U33" s="26">
        <v>490</v>
      </c>
    </row>
    <row r="34" spans="1:21" ht="16.5" x14ac:dyDescent="0.2">
      <c r="A34" s="9" t="s">
        <v>28</v>
      </c>
      <c r="B34" s="9" t="s">
        <v>30</v>
      </c>
      <c r="C34" s="12" t="s">
        <v>26</v>
      </c>
      <c r="D34" s="18" t="s">
        <v>36</v>
      </c>
      <c r="E34" s="19">
        <v>501</v>
      </c>
      <c r="F34" s="19">
        <v>1002</v>
      </c>
      <c r="G34" s="19">
        <v>1504</v>
      </c>
      <c r="H34" s="19">
        <v>2005</v>
      </c>
      <c r="I34" s="20">
        <v>2506</v>
      </c>
      <c r="J34" s="18" t="s">
        <v>36</v>
      </c>
      <c r="K34" s="19">
        <v>5465</v>
      </c>
      <c r="L34" s="19">
        <v>10929</v>
      </c>
      <c r="M34" s="19">
        <v>16394</v>
      </c>
      <c r="N34" s="19">
        <v>21858</v>
      </c>
      <c r="O34" s="20">
        <v>27323</v>
      </c>
      <c r="P34" s="18" t="s">
        <v>36</v>
      </c>
      <c r="Q34" s="19"/>
      <c r="R34" s="19"/>
      <c r="S34" s="19"/>
      <c r="T34" s="19"/>
      <c r="U34" s="20"/>
    </row>
    <row r="35" spans="1:21" ht="16.5" x14ac:dyDescent="0.2">
      <c r="A35" s="10" t="s">
        <v>28</v>
      </c>
      <c r="B35" s="10" t="s">
        <v>30</v>
      </c>
      <c r="C35" s="13" t="s">
        <v>27</v>
      </c>
      <c r="D35" s="21" t="s">
        <v>36</v>
      </c>
      <c r="E35" s="22">
        <v>319</v>
      </c>
      <c r="F35" s="22">
        <v>638</v>
      </c>
      <c r="G35" s="22">
        <v>957</v>
      </c>
      <c r="H35" s="22">
        <v>1276</v>
      </c>
      <c r="I35" s="23">
        <v>1594</v>
      </c>
      <c r="J35" s="21" t="s">
        <v>36</v>
      </c>
      <c r="K35" s="22"/>
      <c r="L35" s="22"/>
      <c r="M35" s="22"/>
      <c r="N35" s="22"/>
      <c r="O35" s="23"/>
      <c r="P35" s="21" t="s">
        <v>36</v>
      </c>
      <c r="Q35" s="22">
        <v>73</v>
      </c>
      <c r="R35" s="22">
        <v>145</v>
      </c>
      <c r="S35" s="22">
        <v>218</v>
      </c>
      <c r="T35" s="22">
        <v>291</v>
      </c>
      <c r="U35" s="23">
        <v>364</v>
      </c>
    </row>
    <row r="36" spans="1:21" ht="16.5" x14ac:dyDescent="0.2">
      <c r="A36" s="10" t="s">
        <v>28</v>
      </c>
      <c r="B36" s="10" t="s">
        <v>30</v>
      </c>
      <c r="C36" s="13" t="s">
        <v>39</v>
      </c>
      <c r="D36" s="21" t="s">
        <v>36</v>
      </c>
      <c r="E36" s="22">
        <v>91</v>
      </c>
      <c r="F36" s="22">
        <v>182</v>
      </c>
      <c r="G36" s="22">
        <v>273</v>
      </c>
      <c r="H36" s="22">
        <v>364</v>
      </c>
      <c r="I36" s="23">
        <v>456</v>
      </c>
      <c r="J36" s="21" t="s">
        <v>36</v>
      </c>
      <c r="K36" s="22">
        <v>17760</v>
      </c>
      <c r="L36" s="22">
        <v>35520</v>
      </c>
      <c r="M36" s="22">
        <v>53280</v>
      </c>
      <c r="N36" s="22">
        <v>71040</v>
      </c>
      <c r="O36" s="23">
        <v>88800</v>
      </c>
      <c r="P36" s="21" t="s">
        <v>36</v>
      </c>
      <c r="Q36" s="22"/>
      <c r="R36" s="22"/>
      <c r="S36" s="22"/>
      <c r="T36" s="22"/>
      <c r="U36" s="23"/>
    </row>
    <row r="37" spans="1:21" ht="16.5" x14ac:dyDescent="0.2">
      <c r="A37" s="11" t="s">
        <v>28</v>
      </c>
      <c r="B37" s="11" t="s">
        <v>30</v>
      </c>
      <c r="C37" s="14" t="s">
        <v>40</v>
      </c>
      <c r="D37" s="24" t="s">
        <v>36</v>
      </c>
      <c r="E37" s="25"/>
      <c r="F37" s="25"/>
      <c r="G37" s="25"/>
      <c r="H37" s="25"/>
      <c r="I37" s="26"/>
      <c r="J37" s="24" t="s">
        <v>36</v>
      </c>
      <c r="K37" s="25">
        <v>4098</v>
      </c>
      <c r="L37" s="25">
        <v>8197</v>
      </c>
      <c r="M37" s="25">
        <v>12296</v>
      </c>
      <c r="N37" s="25">
        <v>16394</v>
      </c>
      <c r="O37" s="26">
        <v>20492</v>
      </c>
      <c r="P37" s="24" t="s">
        <v>36</v>
      </c>
      <c r="Q37" s="25">
        <v>109</v>
      </c>
      <c r="R37" s="25">
        <v>218</v>
      </c>
      <c r="S37" s="25">
        <v>327</v>
      </c>
      <c r="T37" s="25">
        <v>436</v>
      </c>
      <c r="U37" s="26">
        <v>545</v>
      </c>
    </row>
    <row r="38" spans="1:21" ht="16.5" x14ac:dyDescent="0.2">
      <c r="A38" s="9" t="s">
        <v>28</v>
      </c>
      <c r="B38" s="9" t="s">
        <v>31</v>
      </c>
      <c r="C38" s="12" t="s">
        <v>26</v>
      </c>
      <c r="D38" s="18" t="s">
        <v>36</v>
      </c>
      <c r="E38" s="19">
        <v>401</v>
      </c>
      <c r="F38" s="19">
        <v>802</v>
      </c>
      <c r="G38" s="19">
        <v>1203</v>
      </c>
      <c r="H38" s="19">
        <v>1604</v>
      </c>
      <c r="I38" s="20">
        <v>2005</v>
      </c>
      <c r="J38" s="18" t="s">
        <v>36</v>
      </c>
      <c r="K38" s="19">
        <v>6011</v>
      </c>
      <c r="L38" s="19">
        <v>12022</v>
      </c>
      <c r="M38" s="19">
        <v>18033</v>
      </c>
      <c r="N38" s="19">
        <v>24044</v>
      </c>
      <c r="O38" s="20">
        <v>30056</v>
      </c>
      <c r="P38" s="18" t="s">
        <v>36</v>
      </c>
      <c r="Q38" s="19"/>
      <c r="R38" s="19"/>
      <c r="S38" s="19"/>
      <c r="T38" s="19"/>
      <c r="U38" s="20"/>
    </row>
    <row r="39" spans="1:21" ht="16.5" x14ac:dyDescent="0.2">
      <c r="A39" s="10" t="s">
        <v>28</v>
      </c>
      <c r="B39" s="10" t="s">
        <v>31</v>
      </c>
      <c r="C39" s="13" t="s">
        <v>27</v>
      </c>
      <c r="D39" s="21" t="s">
        <v>36</v>
      </c>
      <c r="E39" s="22">
        <v>255</v>
      </c>
      <c r="F39" s="22">
        <v>510</v>
      </c>
      <c r="G39" s="22">
        <v>765</v>
      </c>
      <c r="H39" s="22">
        <v>1020</v>
      </c>
      <c r="I39" s="23">
        <v>1276</v>
      </c>
      <c r="J39" s="21" t="s">
        <v>36</v>
      </c>
      <c r="K39" s="22"/>
      <c r="L39" s="22"/>
      <c r="M39" s="22"/>
      <c r="N39" s="22"/>
      <c r="O39" s="23"/>
      <c r="P39" s="21" t="s">
        <v>36</v>
      </c>
      <c r="Q39" s="22">
        <v>80</v>
      </c>
      <c r="R39" s="22">
        <v>160</v>
      </c>
      <c r="S39" s="22">
        <v>240</v>
      </c>
      <c r="T39" s="22">
        <v>320</v>
      </c>
      <c r="U39" s="23">
        <v>400</v>
      </c>
    </row>
    <row r="40" spans="1:21" ht="16.5" x14ac:dyDescent="0.2">
      <c r="A40" s="10" t="s">
        <v>28</v>
      </c>
      <c r="B40" s="10" t="s">
        <v>31</v>
      </c>
      <c r="C40" s="13" t="s">
        <v>39</v>
      </c>
      <c r="D40" s="21" t="s">
        <v>36</v>
      </c>
      <c r="E40" s="22">
        <v>73</v>
      </c>
      <c r="F40" s="22">
        <v>146</v>
      </c>
      <c r="G40" s="22">
        <v>219</v>
      </c>
      <c r="H40" s="22">
        <v>292</v>
      </c>
      <c r="I40" s="23">
        <v>364</v>
      </c>
      <c r="J40" s="21" t="s">
        <v>36</v>
      </c>
      <c r="K40" s="22">
        <v>19536</v>
      </c>
      <c r="L40" s="22">
        <v>39072</v>
      </c>
      <c r="M40" s="22">
        <v>58608</v>
      </c>
      <c r="N40" s="22">
        <v>78144</v>
      </c>
      <c r="O40" s="23">
        <v>97680</v>
      </c>
      <c r="P40" s="21" t="s">
        <v>36</v>
      </c>
      <c r="Q40" s="22"/>
      <c r="R40" s="22"/>
      <c r="S40" s="22"/>
      <c r="T40" s="22"/>
      <c r="U40" s="23"/>
    </row>
    <row r="41" spans="1:21" ht="16.5" x14ac:dyDescent="0.2">
      <c r="A41" s="11" t="s">
        <v>28</v>
      </c>
      <c r="B41" s="11" t="s">
        <v>31</v>
      </c>
      <c r="C41" s="14" t="s">
        <v>40</v>
      </c>
      <c r="D41" s="24" t="s">
        <v>36</v>
      </c>
      <c r="E41" s="25"/>
      <c r="F41" s="25"/>
      <c r="G41" s="25"/>
      <c r="H41" s="25"/>
      <c r="I41" s="26"/>
      <c r="J41" s="24" t="s">
        <v>36</v>
      </c>
      <c r="K41" s="25">
        <v>4508</v>
      </c>
      <c r="L41" s="25">
        <v>9017</v>
      </c>
      <c r="M41" s="25">
        <v>13525</v>
      </c>
      <c r="N41" s="25">
        <v>18034</v>
      </c>
      <c r="O41" s="26">
        <v>22542</v>
      </c>
      <c r="P41" s="24" t="s">
        <v>36</v>
      </c>
      <c r="Q41" s="25">
        <v>120</v>
      </c>
      <c r="R41" s="25">
        <v>240</v>
      </c>
      <c r="S41" s="25">
        <v>360</v>
      </c>
      <c r="T41" s="25">
        <v>480</v>
      </c>
      <c r="U41" s="26">
        <v>600</v>
      </c>
    </row>
    <row r="42" spans="1:21" x14ac:dyDescent="0.2">
      <c r="N42" s="30"/>
    </row>
  </sheetData>
  <mergeCells count="8">
    <mergeCell ref="D1:I1"/>
    <mergeCell ref="J1:O1"/>
    <mergeCell ref="P1:U1"/>
    <mergeCell ref="A1:C2"/>
    <mergeCell ref="A28:C29"/>
    <mergeCell ref="D28:I28"/>
    <mergeCell ref="J28:O28"/>
    <mergeCell ref="P28:U2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词条表</vt:lpstr>
      <vt:lpstr>装备加成结果表</vt:lpstr>
      <vt:lpstr>装备加成计算表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 L</dc:creator>
  <cp:lastModifiedBy>阿里布达的Space</cp:lastModifiedBy>
  <dcterms:created xsi:type="dcterms:W3CDTF">2015-06-05T18:19:34Z</dcterms:created>
  <dcterms:modified xsi:type="dcterms:W3CDTF">2026-09-21T15:20:39Z</dcterms:modified>
</cp:coreProperties>
</file>